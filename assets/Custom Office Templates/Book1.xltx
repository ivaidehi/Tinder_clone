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AIDEHI\Documents\Custom Office Templates\"/>
    </mc:Choice>
  </mc:AlternateContent>
  <xr:revisionPtr revIDLastSave="0" documentId="8_{FA6D1320-5226-41F6-B3E1-85A133D9769C}" xr6:coauthVersionLast="47" xr6:coauthVersionMax="47" xr10:uidLastSave="{00000000-0000-0000-0000-000000000000}"/>
  <bookViews>
    <workbookView xWindow="-108" yWindow="-108" windowWidth="23256" windowHeight="12576" xr2:uid="{F1DDFAAE-A001-4C93-BE64-FEFED325AAB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7" i="1" l="1"/>
  <c r="C62" i="1"/>
  <c r="D62" i="1" s="1"/>
  <c r="F62" i="1" s="1"/>
  <c r="G62" i="1" s="1"/>
  <c r="H62" i="1" s="1"/>
  <c r="K62" i="1" s="1"/>
  <c r="C61" i="1"/>
  <c r="D61" i="1" s="1"/>
  <c r="F61" i="1" s="1"/>
  <c r="G61" i="1" s="1"/>
  <c r="H61" i="1" s="1"/>
  <c r="I61" i="1" s="1"/>
  <c r="C60" i="1"/>
  <c r="D60" i="1" s="1"/>
  <c r="F60" i="1" s="1"/>
  <c r="G60" i="1" s="1"/>
  <c r="H60" i="1" s="1"/>
  <c r="J60" i="1" s="1"/>
  <c r="C59" i="1"/>
  <c r="D59" i="1" s="1"/>
  <c r="F59" i="1" s="1"/>
  <c r="G59" i="1" s="1"/>
  <c r="H59" i="1" s="1"/>
  <c r="J59" i="1" s="1"/>
  <c r="C58" i="1"/>
  <c r="D58" i="1" s="1"/>
  <c r="F58" i="1" s="1"/>
  <c r="G58" i="1" s="1"/>
  <c r="H58" i="1" s="1"/>
  <c r="C57" i="1"/>
  <c r="D57" i="1" s="1"/>
  <c r="F57" i="1" s="1"/>
  <c r="G57" i="1" s="1"/>
  <c r="H57" i="1" s="1"/>
  <c r="I57" i="1" s="1"/>
  <c r="C56" i="1"/>
  <c r="D56" i="1" s="1"/>
  <c r="F56" i="1" s="1"/>
  <c r="G56" i="1" s="1"/>
  <c r="H56" i="1" s="1"/>
  <c r="J56" i="1" s="1"/>
  <c r="C55" i="1"/>
  <c r="D55" i="1" s="1"/>
  <c r="F55" i="1" s="1"/>
  <c r="G55" i="1" s="1"/>
  <c r="H55" i="1" s="1"/>
  <c r="J55" i="1" s="1"/>
  <c r="C54" i="1"/>
  <c r="D54" i="1" s="1"/>
  <c r="F54" i="1" s="1"/>
  <c r="G54" i="1" s="1"/>
  <c r="H54" i="1" s="1"/>
  <c r="K54" i="1" s="1"/>
  <c r="C53" i="1"/>
  <c r="D53" i="1" s="1"/>
  <c r="F53" i="1" s="1"/>
  <c r="G53" i="1" s="1"/>
  <c r="H53" i="1" s="1"/>
  <c r="I53" i="1" s="1"/>
  <c r="C52" i="1"/>
  <c r="D52" i="1" s="1"/>
  <c r="F52" i="1" s="1"/>
  <c r="G52" i="1" s="1"/>
  <c r="H52" i="1" s="1"/>
  <c r="J52" i="1" s="1"/>
  <c r="C51" i="1"/>
  <c r="D51" i="1" s="1"/>
  <c r="F51" i="1" s="1"/>
  <c r="G51" i="1" s="1"/>
  <c r="H51" i="1" s="1"/>
  <c r="J51" i="1" s="1"/>
  <c r="C50" i="1"/>
  <c r="D50" i="1" s="1"/>
  <c r="F50" i="1" s="1"/>
  <c r="G50" i="1" s="1"/>
  <c r="H50" i="1" s="1"/>
  <c r="C49" i="1"/>
  <c r="D49" i="1" s="1"/>
  <c r="F49" i="1" s="1"/>
  <c r="G49" i="1" s="1"/>
  <c r="H49" i="1" s="1"/>
  <c r="I49" i="1" s="1"/>
  <c r="C48" i="1"/>
  <c r="D48" i="1" s="1"/>
  <c r="F48" i="1" s="1"/>
  <c r="G48" i="1" s="1"/>
  <c r="H48" i="1" s="1"/>
  <c r="J48" i="1" s="1"/>
  <c r="C47" i="1"/>
  <c r="D47" i="1" s="1"/>
  <c r="F47" i="1" s="1"/>
  <c r="G47" i="1" s="1"/>
  <c r="H47" i="1" s="1"/>
  <c r="J47" i="1" s="1"/>
  <c r="C46" i="1"/>
  <c r="D46" i="1" s="1"/>
  <c r="F46" i="1" s="1"/>
  <c r="G46" i="1" s="1"/>
  <c r="H46" i="1" s="1"/>
  <c r="K46" i="1" s="1"/>
  <c r="C45" i="1"/>
  <c r="D45" i="1" s="1"/>
  <c r="F45" i="1" s="1"/>
  <c r="G45" i="1" s="1"/>
  <c r="H45" i="1" s="1"/>
  <c r="I45" i="1" s="1"/>
  <c r="C44" i="1"/>
  <c r="D44" i="1" s="1"/>
  <c r="F44" i="1" s="1"/>
  <c r="G44" i="1" s="1"/>
  <c r="H44" i="1" s="1"/>
  <c r="J44" i="1" s="1"/>
  <c r="C43" i="1"/>
  <c r="D43" i="1" s="1"/>
  <c r="F43" i="1" s="1"/>
  <c r="G43" i="1" s="1"/>
  <c r="H43" i="1" s="1"/>
  <c r="J43" i="1" s="1"/>
  <c r="C39" i="1"/>
  <c r="C40" i="1"/>
  <c r="D40" i="1" s="1"/>
  <c r="F40" i="1" s="1"/>
  <c r="G40" i="1" s="1"/>
  <c r="H40" i="1" s="1"/>
  <c r="J40" i="1" s="1"/>
  <c r="C41" i="1"/>
  <c r="D41" i="1" s="1"/>
  <c r="F41" i="1" s="1"/>
  <c r="G41" i="1" s="1"/>
  <c r="H41" i="1" s="1"/>
  <c r="I41" i="1" s="1"/>
  <c r="C42" i="1"/>
  <c r="D42" i="1" s="1"/>
  <c r="F42" i="1" s="1"/>
  <c r="G42" i="1" s="1"/>
  <c r="H42" i="1" s="1"/>
  <c r="K42" i="1" s="1"/>
  <c r="D39" i="1"/>
  <c r="F39" i="1" s="1"/>
  <c r="G39" i="1" s="1"/>
  <c r="H39" i="1" s="1"/>
  <c r="J39" i="1" s="1"/>
  <c r="C38" i="1"/>
  <c r="D38" i="1" s="1"/>
  <c r="F38" i="1" s="1"/>
  <c r="G38" i="1" s="1"/>
  <c r="H38" i="1" s="1"/>
  <c r="K38" i="1" s="1"/>
  <c r="C37" i="1"/>
  <c r="D37" i="1" s="1"/>
  <c r="F37" i="1" s="1"/>
  <c r="G37" i="1" s="1"/>
  <c r="H37" i="1" s="1"/>
  <c r="I37" i="1" s="1"/>
  <c r="C36" i="1"/>
  <c r="D36" i="1" s="1"/>
  <c r="F36" i="1" s="1"/>
  <c r="G36" i="1" s="1"/>
  <c r="H36" i="1" s="1"/>
  <c r="K36" i="1" s="1"/>
  <c r="C35" i="1"/>
  <c r="D35" i="1" s="1"/>
  <c r="F35" i="1" s="1"/>
  <c r="G35" i="1" s="1"/>
  <c r="H35" i="1" s="1"/>
  <c r="J35" i="1" s="1"/>
  <c r="C34" i="1"/>
  <c r="D34" i="1" s="1"/>
  <c r="F34" i="1" s="1"/>
  <c r="G34" i="1" s="1"/>
  <c r="H34" i="1" s="1"/>
  <c r="K34" i="1" s="1"/>
  <c r="C33" i="1"/>
  <c r="D33" i="1" s="1"/>
  <c r="F33" i="1" s="1"/>
  <c r="G33" i="1" s="1"/>
  <c r="H33" i="1" s="1"/>
  <c r="I33" i="1" s="1"/>
  <c r="C32" i="1"/>
  <c r="D32" i="1" s="1"/>
  <c r="F32" i="1" s="1"/>
  <c r="G32" i="1" s="1"/>
  <c r="H32" i="1" s="1"/>
  <c r="J32" i="1" s="1"/>
  <c r="C31" i="1"/>
  <c r="D31" i="1" s="1"/>
  <c r="F31" i="1" s="1"/>
  <c r="G31" i="1" s="1"/>
  <c r="H31" i="1" s="1"/>
  <c r="J31" i="1" s="1"/>
  <c r="C30" i="1"/>
  <c r="D30" i="1" s="1"/>
  <c r="F30" i="1" s="1"/>
  <c r="G30" i="1" s="1"/>
  <c r="H30" i="1" s="1"/>
  <c r="K30" i="1" s="1"/>
  <c r="C29" i="1"/>
  <c r="D29" i="1" s="1"/>
  <c r="F29" i="1" s="1"/>
  <c r="G29" i="1" s="1"/>
  <c r="H29" i="1" s="1"/>
  <c r="I29" i="1" s="1"/>
  <c r="C28" i="1"/>
  <c r="D28" i="1" s="1"/>
  <c r="F28" i="1" s="1"/>
  <c r="G28" i="1" s="1"/>
  <c r="H28" i="1" s="1"/>
  <c r="K28" i="1" s="1"/>
  <c r="C27" i="1"/>
  <c r="D27" i="1" s="1"/>
  <c r="F27" i="1" s="1"/>
  <c r="G27" i="1" s="1"/>
  <c r="H27" i="1" s="1"/>
  <c r="J27" i="1" s="1"/>
  <c r="C26" i="1"/>
  <c r="D26" i="1" s="1"/>
  <c r="F26" i="1" s="1"/>
  <c r="G26" i="1" s="1"/>
  <c r="H26" i="1" s="1"/>
  <c r="K26" i="1" s="1"/>
  <c r="C25" i="1"/>
  <c r="D25" i="1" s="1"/>
  <c r="F25" i="1" s="1"/>
  <c r="G25" i="1" s="1"/>
  <c r="H25" i="1" s="1"/>
  <c r="I25" i="1" s="1"/>
  <c r="C24" i="1"/>
  <c r="D24" i="1" s="1"/>
  <c r="F24" i="1" s="1"/>
  <c r="G24" i="1" s="1"/>
  <c r="H24" i="1" s="1"/>
  <c r="J24" i="1" s="1"/>
  <c r="C23" i="1"/>
  <c r="D23" i="1" s="1"/>
  <c r="F23" i="1" s="1"/>
  <c r="G23" i="1" s="1"/>
  <c r="H23" i="1" s="1"/>
  <c r="J23" i="1" s="1"/>
  <c r="C22" i="1"/>
  <c r="D22" i="1" s="1"/>
  <c r="F22" i="1" s="1"/>
  <c r="G22" i="1" s="1"/>
  <c r="H22" i="1" s="1"/>
  <c r="K22" i="1" s="1"/>
  <c r="C4" i="1"/>
  <c r="D4" i="1" s="1"/>
  <c r="F4" i="1" s="1"/>
  <c r="G4" i="1" s="1"/>
  <c r="H4" i="1" s="1"/>
  <c r="J4" i="1" s="1"/>
  <c r="C21" i="1"/>
  <c r="D21" i="1" s="1"/>
  <c r="F21" i="1" s="1"/>
  <c r="G21" i="1" s="1"/>
  <c r="H21" i="1" s="1"/>
  <c r="I21" i="1" s="1"/>
  <c r="C20" i="1"/>
  <c r="D20" i="1" s="1"/>
  <c r="F20" i="1" s="1"/>
  <c r="G20" i="1" s="1"/>
  <c r="H20" i="1" s="1"/>
  <c r="J20" i="1" s="1"/>
  <c r="C19" i="1"/>
  <c r="D19" i="1" s="1"/>
  <c r="F19" i="1" s="1"/>
  <c r="G19" i="1" s="1"/>
  <c r="H19" i="1" s="1"/>
  <c r="J19" i="1" s="1"/>
  <c r="C18" i="1"/>
  <c r="D18" i="1" s="1"/>
  <c r="F18" i="1" s="1"/>
  <c r="G18" i="1" s="1"/>
  <c r="H18" i="1" s="1"/>
  <c r="K18" i="1" s="1"/>
  <c r="C17" i="1"/>
  <c r="D17" i="1" s="1"/>
  <c r="F17" i="1" s="1"/>
  <c r="G17" i="1" s="1"/>
  <c r="H17" i="1" s="1"/>
  <c r="I17" i="1" s="1"/>
  <c r="C16" i="1"/>
  <c r="D16" i="1" s="1"/>
  <c r="F16" i="1" s="1"/>
  <c r="G16" i="1" s="1"/>
  <c r="H16" i="1" s="1"/>
  <c r="J16" i="1" s="1"/>
  <c r="C15" i="1"/>
  <c r="D15" i="1" s="1"/>
  <c r="F15" i="1" s="1"/>
  <c r="G15" i="1" s="1"/>
  <c r="H15" i="1" s="1"/>
  <c r="J15" i="1" s="1"/>
  <c r="C14" i="1"/>
  <c r="D14" i="1" s="1"/>
  <c r="F14" i="1" s="1"/>
  <c r="G14" i="1" s="1"/>
  <c r="H14" i="1" s="1"/>
  <c r="K14" i="1" s="1"/>
  <c r="C9" i="1"/>
  <c r="D9" i="1" s="1"/>
  <c r="F9" i="1" s="1"/>
  <c r="G9" i="1" s="1"/>
  <c r="H9" i="1" s="1"/>
  <c r="J9" i="1" s="1"/>
  <c r="C10" i="1"/>
  <c r="D10" i="1" s="1"/>
  <c r="F10" i="1" s="1"/>
  <c r="G10" i="1" s="1"/>
  <c r="H10" i="1" s="1"/>
  <c r="K10" i="1" s="1"/>
  <c r="C11" i="1"/>
  <c r="D11" i="1" s="1"/>
  <c r="F11" i="1" s="1"/>
  <c r="G11" i="1" s="1"/>
  <c r="H11" i="1" s="1"/>
  <c r="K11" i="1" s="1"/>
  <c r="C12" i="1"/>
  <c r="D12" i="1" s="1"/>
  <c r="F12" i="1" s="1"/>
  <c r="G12" i="1" s="1"/>
  <c r="H12" i="1" s="1"/>
  <c r="J12" i="1" s="1"/>
  <c r="C13" i="1"/>
  <c r="D13" i="1" s="1"/>
  <c r="F13" i="1" s="1"/>
  <c r="G13" i="1" s="1"/>
  <c r="H13" i="1" s="1"/>
  <c r="I13" i="1" s="1"/>
  <c r="C7" i="1"/>
  <c r="D7" i="1" s="1"/>
  <c r="F7" i="1" s="1"/>
  <c r="G7" i="1" s="1"/>
  <c r="H7" i="1" s="1"/>
  <c r="K7" i="1" s="1"/>
  <c r="C8" i="1"/>
  <c r="D8" i="1" s="1"/>
  <c r="F8" i="1" s="1"/>
  <c r="G8" i="1" s="1"/>
  <c r="H8" i="1" s="1"/>
  <c r="J8" i="1" s="1"/>
  <c r="C6" i="1"/>
  <c r="D6" i="1" s="1"/>
  <c r="F6" i="1" s="1"/>
  <c r="G6" i="1" s="1"/>
  <c r="H6" i="1" s="1"/>
  <c r="K6" i="1" s="1"/>
  <c r="C5" i="1"/>
  <c r="D5" i="1" s="1"/>
  <c r="F5" i="1" s="1"/>
  <c r="G5" i="1" s="1"/>
  <c r="H5" i="1" s="1"/>
  <c r="J5" i="1" s="1"/>
  <c r="I11" i="1" l="1"/>
  <c r="J29" i="1"/>
  <c r="I56" i="1"/>
  <c r="K52" i="1"/>
  <c r="J45" i="1"/>
  <c r="K20" i="1"/>
  <c r="I55" i="1"/>
  <c r="L55" i="1" s="1"/>
  <c r="I43" i="1"/>
  <c r="I23" i="1"/>
  <c r="I7" i="1"/>
  <c r="J57" i="1"/>
  <c r="J41" i="1"/>
  <c r="J25" i="1"/>
  <c r="K48" i="1"/>
  <c r="K16" i="1"/>
  <c r="I27" i="1"/>
  <c r="J61" i="1"/>
  <c r="I60" i="1"/>
  <c r="I52" i="1"/>
  <c r="I35" i="1"/>
  <c r="I19" i="1"/>
  <c r="J11" i="1"/>
  <c r="L11" i="1" s="1"/>
  <c r="J53" i="1"/>
  <c r="L53" i="1" s="1"/>
  <c r="J37" i="1"/>
  <c r="K60" i="1"/>
  <c r="K44" i="1"/>
  <c r="K12" i="1"/>
  <c r="L60" i="1"/>
  <c r="I59" i="1"/>
  <c r="I51" i="1"/>
  <c r="I31" i="1"/>
  <c r="I15" i="1"/>
  <c r="J7" i="1"/>
  <c r="J49" i="1"/>
  <c r="J33" i="1"/>
  <c r="K56" i="1"/>
  <c r="L56" i="1" s="1"/>
  <c r="K40" i="1"/>
  <c r="K8" i="1"/>
  <c r="K58" i="1"/>
  <c r="I58" i="1"/>
  <c r="J58" i="1"/>
  <c r="K50" i="1"/>
  <c r="I50" i="1"/>
  <c r="J50" i="1"/>
  <c r="I39" i="1"/>
  <c r="I4" i="1"/>
  <c r="I48" i="1"/>
  <c r="I44" i="1"/>
  <c r="L44" i="1" s="1"/>
  <c r="I40" i="1"/>
  <c r="I36" i="1"/>
  <c r="I32" i="1"/>
  <c r="I28" i="1"/>
  <c r="I24" i="1"/>
  <c r="I20" i="1"/>
  <c r="L20" i="1" s="1"/>
  <c r="I16" i="1"/>
  <c r="I12" i="1"/>
  <c r="I8" i="1"/>
  <c r="L8" i="1" s="1"/>
  <c r="J62" i="1"/>
  <c r="J54" i="1"/>
  <c r="J46" i="1"/>
  <c r="J42" i="1"/>
  <c r="J38" i="1"/>
  <c r="J34" i="1"/>
  <c r="J30" i="1"/>
  <c r="J26" i="1"/>
  <c r="J22" i="1"/>
  <c r="J18" i="1"/>
  <c r="J14" i="1"/>
  <c r="K61" i="1"/>
  <c r="L61" i="1" s="1"/>
  <c r="K57" i="1"/>
  <c r="K53" i="1"/>
  <c r="K49" i="1"/>
  <c r="L49" i="1" s="1"/>
  <c r="K45" i="1"/>
  <c r="L45" i="1" s="1"/>
  <c r="K41" i="1"/>
  <c r="L41" i="1" s="1"/>
  <c r="K37" i="1"/>
  <c r="K33" i="1"/>
  <c r="K29" i="1"/>
  <c r="L29" i="1" s="1"/>
  <c r="K25" i="1"/>
  <c r="L25" i="1" s="1"/>
  <c r="K21" i="1"/>
  <c r="K17" i="1"/>
  <c r="L17" i="1" s="1"/>
  <c r="K13" i="1"/>
  <c r="K9" i="1"/>
  <c r="K5" i="1"/>
  <c r="J21" i="1"/>
  <c r="L21" i="1" s="1"/>
  <c r="J13" i="1"/>
  <c r="L13" i="1" s="1"/>
  <c r="K32" i="1"/>
  <c r="K24" i="1"/>
  <c r="I62" i="1"/>
  <c r="I54" i="1"/>
  <c r="L54" i="1" s="1"/>
  <c r="I46" i="1"/>
  <c r="I42" i="1"/>
  <c r="I38" i="1"/>
  <c r="I34" i="1"/>
  <c r="L34" i="1" s="1"/>
  <c r="I30" i="1"/>
  <c r="I26" i="1"/>
  <c r="I22" i="1"/>
  <c r="I18" i="1"/>
  <c r="L18" i="1" s="1"/>
  <c r="I14" i="1"/>
  <c r="I10" i="1"/>
  <c r="I6" i="1"/>
  <c r="J10" i="1"/>
  <c r="J6" i="1"/>
  <c r="J36" i="1"/>
  <c r="J28" i="1"/>
  <c r="K4" i="1"/>
  <c r="K59" i="1"/>
  <c r="L59" i="1" s="1"/>
  <c r="K55" i="1"/>
  <c r="K51" i="1"/>
  <c r="L51" i="1" s="1"/>
  <c r="K47" i="1"/>
  <c r="L47" i="1" s="1"/>
  <c r="K43" i="1"/>
  <c r="L43" i="1" s="1"/>
  <c r="K39" i="1"/>
  <c r="K35" i="1"/>
  <c r="K31" i="1"/>
  <c r="L31" i="1" s="1"/>
  <c r="K27" i="1"/>
  <c r="L27" i="1" s="1"/>
  <c r="K23" i="1"/>
  <c r="L23" i="1" s="1"/>
  <c r="K19" i="1"/>
  <c r="L19" i="1" s="1"/>
  <c r="K15" i="1"/>
  <c r="I5" i="1"/>
  <c r="L5" i="1" s="1"/>
  <c r="J17" i="1"/>
  <c r="I9" i="1"/>
  <c r="L15" i="1" l="1"/>
  <c r="L6" i="1"/>
  <c r="L38" i="1"/>
  <c r="L33" i="1"/>
  <c r="L52" i="1"/>
  <c r="L9" i="1"/>
  <c r="L35" i="1"/>
  <c r="L22" i="1"/>
  <c r="L62" i="1"/>
  <c r="L12" i="1"/>
  <c r="L37" i="1"/>
  <c r="L48" i="1"/>
  <c r="L7" i="1"/>
  <c r="L16" i="1"/>
  <c r="L57" i="1"/>
  <c r="L24" i="1"/>
  <c r="L40" i="1"/>
  <c r="L39" i="1"/>
  <c r="L28" i="1"/>
  <c r="L10" i="1"/>
  <c r="L26" i="1"/>
  <c r="L42" i="1"/>
  <c r="L32" i="1"/>
  <c r="L58" i="1"/>
  <c r="L14" i="1"/>
  <c r="L30" i="1"/>
  <c r="L46" i="1"/>
  <c r="L36" i="1"/>
  <c r="L4" i="1"/>
  <c r="L50" i="1"/>
</calcChain>
</file>

<file path=xl/sharedStrings.xml><?xml version="1.0" encoding="utf-8"?>
<sst xmlns="http://schemas.openxmlformats.org/spreadsheetml/2006/main" count="14" uniqueCount="14">
  <si>
    <t>SR.NO.</t>
  </si>
  <si>
    <t>CIRCUMFERENCE (ft.)</t>
  </si>
  <si>
    <t>CUBIC ft.</t>
  </si>
  <si>
    <t>CIRCUMFERENCE (inch)</t>
  </si>
  <si>
    <t>HEIGHT (ft.)</t>
  </si>
  <si>
    <t>TOTAL</t>
  </si>
  <si>
    <t>CIRCUMFERENCE - 2in.</t>
  </si>
  <si>
    <t xml:space="preserve">C*C*H </t>
  </si>
  <si>
    <t>C*C*H/2304</t>
  </si>
  <si>
    <t>RATE: Rs.1500</t>
  </si>
  <si>
    <t>RATE :Rs.1200</t>
  </si>
  <si>
    <t>RATE :Rs.900</t>
  </si>
  <si>
    <t>[ Cirumference  =  C  = ( golai )  ,          Height  =  H  = ( unchai )  ,         Cubic ft.  = ( ghanfoot ). ] ft.</t>
  </si>
  <si>
    <t>xxxxxxxxx ----------------------------------------------                 SAGVAN                ----------------------------------------------xxxxxxx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</si>
</sst>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1" fillId="0" borderId="19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CB7BB-75FE-4B43-B509-9E76A64D0442}">
  <dimension ref="A1:L65"/>
  <sheetViews>
    <sheetView tabSelected="1" zoomScale="70" zoomScaleNormal="70" workbookViewId="0">
      <selection sqref="A1:L1"/>
    </sheetView>
  </sheetViews>
  <sheetFormatPr defaultRowHeight="14.4" x14ac:dyDescent="0.3"/>
  <cols>
    <col min="1" max="1" width="7.21875" customWidth="1"/>
    <col min="2" max="2" width="20.88671875" bestFit="1" customWidth="1"/>
    <col min="3" max="4" width="23.5546875" customWidth="1"/>
    <col min="5" max="5" width="13.33203125" customWidth="1"/>
    <col min="6" max="6" width="11.109375" customWidth="1"/>
    <col min="7" max="7" width="14.33203125" customWidth="1"/>
    <col min="8" max="8" width="10.21875" customWidth="1"/>
    <col min="9" max="9" width="14.33203125" customWidth="1"/>
    <col min="10" max="10" width="13.88671875" customWidth="1"/>
    <col min="11" max="11" width="13.21875" customWidth="1"/>
    <col min="12" max="12" width="11" customWidth="1"/>
  </cols>
  <sheetData>
    <row r="1" spans="1:12" ht="44.4" customHeight="1" thickBot="1" x14ac:dyDescent="0.35">
      <c r="A1" s="1" t="s">
        <v>13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12" ht="29.4" customHeight="1" thickBot="1" x14ac:dyDescent="0.35">
      <c r="A2" s="6" t="s">
        <v>0</v>
      </c>
      <c r="B2" s="7" t="s">
        <v>1</v>
      </c>
      <c r="C2" s="4" t="s">
        <v>3</v>
      </c>
      <c r="D2" s="4" t="s">
        <v>6</v>
      </c>
      <c r="E2" s="4" t="s">
        <v>4</v>
      </c>
      <c r="F2" s="4" t="s">
        <v>7</v>
      </c>
      <c r="G2" s="4" t="s">
        <v>8</v>
      </c>
      <c r="H2" s="4" t="s">
        <v>2</v>
      </c>
      <c r="I2" s="4" t="s">
        <v>9</v>
      </c>
      <c r="J2" s="4" t="s">
        <v>10</v>
      </c>
      <c r="K2" s="4" t="s">
        <v>11</v>
      </c>
      <c r="L2" s="5" t="s">
        <v>5</v>
      </c>
    </row>
    <row r="3" spans="1:12" ht="18" thickBot="1" x14ac:dyDescent="0.35">
      <c r="A3" s="23"/>
      <c r="B3" s="24"/>
      <c r="C3" s="25"/>
      <c r="D3" s="25"/>
      <c r="E3" s="25"/>
      <c r="F3" s="25"/>
      <c r="G3" s="25"/>
      <c r="H3" s="25"/>
      <c r="I3" s="25"/>
      <c r="J3" s="25"/>
      <c r="K3" s="25"/>
      <c r="L3" s="26"/>
    </row>
    <row r="4" spans="1:12" ht="17.399999999999999" x14ac:dyDescent="0.3">
      <c r="A4" s="27">
        <v>1</v>
      </c>
      <c r="B4" s="28">
        <v>3.9</v>
      </c>
      <c r="C4" s="29">
        <f>PRODUCT(B4,12)</f>
        <v>46.8</v>
      </c>
      <c r="D4" s="29">
        <f>C4-2</f>
        <v>44.8</v>
      </c>
      <c r="E4" s="29">
        <v>10</v>
      </c>
      <c r="F4" s="29">
        <f>PRODUCT(D4,E4,D4)</f>
        <v>20070.399999999998</v>
      </c>
      <c r="G4" s="29">
        <f>F4/2304</f>
        <v>8.7111111111111104</v>
      </c>
      <c r="H4" s="28">
        <f>ROUND(G4,1)</f>
        <v>8.6999999999999993</v>
      </c>
      <c r="I4" s="29">
        <f>PRODUCT(H4,1500)</f>
        <v>13049.999999999998</v>
      </c>
      <c r="J4" s="29">
        <f>PRODUCT(H4,1200)</f>
        <v>10440</v>
      </c>
      <c r="K4" s="29">
        <f>PRODUCT(H4,900)</f>
        <v>7829.9999999999991</v>
      </c>
      <c r="L4" s="30">
        <f>SUM(I4:K4)</f>
        <v>31320</v>
      </c>
    </row>
    <row r="5" spans="1:12" ht="17.399999999999999" x14ac:dyDescent="0.3">
      <c r="A5" s="8">
        <v>2</v>
      </c>
      <c r="B5" s="10">
        <v>4.2</v>
      </c>
      <c r="C5" s="9">
        <f>PRODUCT(B5,12)</f>
        <v>50.400000000000006</v>
      </c>
      <c r="D5" s="9">
        <f t="shared" ref="D5:D62" si="0">C5-2</f>
        <v>48.400000000000006</v>
      </c>
      <c r="E5" s="9">
        <v>10</v>
      </c>
      <c r="F5" s="9">
        <f t="shared" ref="F5:F62" si="1">PRODUCT(D5,E5,D5)</f>
        <v>23425.600000000006</v>
      </c>
      <c r="G5" s="9">
        <f t="shared" ref="G5:G62" si="2">F5/2304</f>
        <v>10.167361111111113</v>
      </c>
      <c r="H5" s="10">
        <f t="shared" ref="H5:H62" si="3">ROUND(G5,1)</f>
        <v>10.199999999999999</v>
      </c>
      <c r="I5" s="9">
        <f>PRODUCT(H5,1500)</f>
        <v>15299.999999999998</v>
      </c>
      <c r="J5" s="9">
        <f t="shared" ref="J5:J62" si="4">PRODUCT(H5,1200)</f>
        <v>12240</v>
      </c>
      <c r="K5" s="9">
        <f t="shared" ref="K5:K62" si="5">PRODUCT(H5,900)</f>
        <v>9180</v>
      </c>
      <c r="L5" s="11">
        <f>SUM(I5:K5)</f>
        <v>36720</v>
      </c>
    </row>
    <row r="6" spans="1:12" ht="17.399999999999999" x14ac:dyDescent="0.3">
      <c r="A6" s="8">
        <v>3</v>
      </c>
      <c r="B6" s="10">
        <v>5</v>
      </c>
      <c r="C6" s="9">
        <f>PRODUCT(B6,12)</f>
        <v>60</v>
      </c>
      <c r="D6" s="9">
        <f t="shared" si="0"/>
        <v>58</v>
      </c>
      <c r="E6" s="9">
        <v>10</v>
      </c>
      <c r="F6" s="9">
        <f t="shared" si="1"/>
        <v>33640</v>
      </c>
      <c r="G6" s="9">
        <f t="shared" si="2"/>
        <v>14.600694444444445</v>
      </c>
      <c r="H6" s="10">
        <f t="shared" si="3"/>
        <v>14.6</v>
      </c>
      <c r="I6" s="9">
        <f t="shared" ref="I6:I62" si="6">PRODUCT(H6,1500)</f>
        <v>21900</v>
      </c>
      <c r="J6" s="9">
        <f t="shared" si="4"/>
        <v>17520</v>
      </c>
      <c r="K6" s="9">
        <f t="shared" si="5"/>
        <v>13140</v>
      </c>
      <c r="L6" s="11">
        <f t="shared" ref="L6:L62" si="7">SUM(I6:K6)</f>
        <v>52560</v>
      </c>
    </row>
    <row r="7" spans="1:12" ht="17.399999999999999" x14ac:dyDescent="0.3">
      <c r="A7" s="8">
        <v>4</v>
      </c>
      <c r="B7" s="10">
        <v>3.8</v>
      </c>
      <c r="C7" s="9">
        <f t="shared" ref="C7:C62" si="8">PRODUCT(B7,12)</f>
        <v>45.599999999999994</v>
      </c>
      <c r="D7" s="9">
        <f t="shared" si="0"/>
        <v>43.599999999999994</v>
      </c>
      <c r="E7" s="9">
        <v>10</v>
      </c>
      <c r="F7" s="9">
        <f t="shared" si="1"/>
        <v>19009.599999999995</v>
      </c>
      <c r="G7" s="9">
        <f t="shared" si="2"/>
        <v>8.2506944444444414</v>
      </c>
      <c r="H7" s="10">
        <f t="shared" si="3"/>
        <v>8.3000000000000007</v>
      </c>
      <c r="I7" s="9">
        <f t="shared" si="6"/>
        <v>12450.000000000002</v>
      </c>
      <c r="J7" s="9">
        <f t="shared" si="4"/>
        <v>9960</v>
      </c>
      <c r="K7" s="9">
        <f t="shared" si="5"/>
        <v>7470.0000000000009</v>
      </c>
      <c r="L7" s="11">
        <f t="shared" si="7"/>
        <v>29880</v>
      </c>
    </row>
    <row r="8" spans="1:12" ht="17.399999999999999" x14ac:dyDescent="0.3">
      <c r="A8" s="8">
        <v>5</v>
      </c>
      <c r="B8" s="10">
        <v>3</v>
      </c>
      <c r="C8" s="9">
        <f t="shared" si="8"/>
        <v>36</v>
      </c>
      <c r="D8" s="9">
        <f t="shared" si="0"/>
        <v>34</v>
      </c>
      <c r="E8" s="9">
        <v>10</v>
      </c>
      <c r="F8" s="9">
        <f t="shared" si="1"/>
        <v>11560</v>
      </c>
      <c r="G8" s="9">
        <f t="shared" si="2"/>
        <v>5.0173611111111107</v>
      </c>
      <c r="H8" s="10">
        <f t="shared" si="3"/>
        <v>5</v>
      </c>
      <c r="I8" s="9">
        <f t="shared" si="6"/>
        <v>7500</v>
      </c>
      <c r="J8" s="9">
        <f t="shared" si="4"/>
        <v>6000</v>
      </c>
      <c r="K8" s="9">
        <f t="shared" si="5"/>
        <v>4500</v>
      </c>
      <c r="L8" s="11">
        <f t="shared" si="7"/>
        <v>18000</v>
      </c>
    </row>
    <row r="9" spans="1:12" ht="17.399999999999999" x14ac:dyDescent="0.3">
      <c r="A9" s="8">
        <v>6</v>
      </c>
      <c r="B9" s="10">
        <v>5.3</v>
      </c>
      <c r="C9" s="9">
        <f t="shared" si="8"/>
        <v>63.599999999999994</v>
      </c>
      <c r="D9" s="9">
        <f t="shared" si="0"/>
        <v>61.599999999999994</v>
      </c>
      <c r="E9" s="9">
        <v>10</v>
      </c>
      <c r="F9" s="9">
        <f t="shared" si="1"/>
        <v>37945.599999999999</v>
      </c>
      <c r="G9" s="9">
        <f t="shared" si="2"/>
        <v>16.469444444444445</v>
      </c>
      <c r="H9" s="10">
        <f t="shared" si="3"/>
        <v>16.5</v>
      </c>
      <c r="I9" s="9">
        <f t="shared" si="6"/>
        <v>24750</v>
      </c>
      <c r="J9" s="9">
        <f t="shared" si="4"/>
        <v>19800</v>
      </c>
      <c r="K9" s="9">
        <f t="shared" si="5"/>
        <v>14850</v>
      </c>
      <c r="L9" s="11">
        <f t="shared" si="7"/>
        <v>59400</v>
      </c>
    </row>
    <row r="10" spans="1:12" ht="17.399999999999999" x14ac:dyDescent="0.3">
      <c r="A10" s="8">
        <v>7</v>
      </c>
      <c r="B10" s="10">
        <v>2.2000000000000002</v>
      </c>
      <c r="C10" s="9">
        <f t="shared" si="8"/>
        <v>26.400000000000002</v>
      </c>
      <c r="D10" s="9">
        <f t="shared" si="0"/>
        <v>24.400000000000002</v>
      </c>
      <c r="E10" s="9">
        <v>10</v>
      </c>
      <c r="F10" s="9">
        <f t="shared" si="1"/>
        <v>5953.6000000000013</v>
      </c>
      <c r="G10" s="9">
        <f t="shared" si="2"/>
        <v>2.5840277777777785</v>
      </c>
      <c r="H10" s="10">
        <f t="shared" si="3"/>
        <v>2.6</v>
      </c>
      <c r="I10" s="9">
        <f t="shared" si="6"/>
        <v>3900</v>
      </c>
      <c r="J10" s="9">
        <f t="shared" si="4"/>
        <v>3120</v>
      </c>
      <c r="K10" s="9">
        <f t="shared" si="5"/>
        <v>2340</v>
      </c>
      <c r="L10" s="11">
        <f t="shared" si="7"/>
        <v>9360</v>
      </c>
    </row>
    <row r="11" spans="1:12" ht="17.399999999999999" x14ac:dyDescent="0.3">
      <c r="A11" s="8">
        <v>8</v>
      </c>
      <c r="B11" s="10">
        <v>4</v>
      </c>
      <c r="C11" s="9">
        <f t="shared" si="8"/>
        <v>48</v>
      </c>
      <c r="D11" s="9">
        <f t="shared" si="0"/>
        <v>46</v>
      </c>
      <c r="E11" s="9">
        <v>10</v>
      </c>
      <c r="F11" s="9">
        <f t="shared" si="1"/>
        <v>21160</v>
      </c>
      <c r="G11" s="9">
        <f t="shared" si="2"/>
        <v>9.1840277777777786</v>
      </c>
      <c r="H11" s="10">
        <f t="shared" si="3"/>
        <v>9.1999999999999993</v>
      </c>
      <c r="I11" s="9">
        <f t="shared" si="6"/>
        <v>13799.999999999998</v>
      </c>
      <c r="J11" s="9">
        <f t="shared" si="4"/>
        <v>11040</v>
      </c>
      <c r="K11" s="9">
        <f t="shared" si="5"/>
        <v>8280</v>
      </c>
      <c r="L11" s="11">
        <f t="shared" si="7"/>
        <v>33120</v>
      </c>
    </row>
    <row r="12" spans="1:12" ht="17.399999999999999" x14ac:dyDescent="0.3">
      <c r="A12" s="8">
        <v>9</v>
      </c>
      <c r="B12" s="10">
        <v>3.2</v>
      </c>
      <c r="C12" s="9">
        <f t="shared" si="8"/>
        <v>38.400000000000006</v>
      </c>
      <c r="D12" s="9">
        <f t="shared" si="0"/>
        <v>36.400000000000006</v>
      </c>
      <c r="E12" s="9">
        <v>10</v>
      </c>
      <c r="F12" s="9">
        <f t="shared" si="1"/>
        <v>13249.600000000004</v>
      </c>
      <c r="G12" s="9">
        <f t="shared" si="2"/>
        <v>5.7506944444444459</v>
      </c>
      <c r="H12" s="10">
        <f t="shared" si="3"/>
        <v>5.8</v>
      </c>
      <c r="I12" s="9">
        <f t="shared" si="6"/>
        <v>8700</v>
      </c>
      <c r="J12" s="9">
        <f t="shared" si="4"/>
        <v>6960</v>
      </c>
      <c r="K12" s="9">
        <f t="shared" si="5"/>
        <v>5220</v>
      </c>
      <c r="L12" s="11">
        <f t="shared" si="7"/>
        <v>20880</v>
      </c>
    </row>
    <row r="13" spans="1:12" ht="17.399999999999999" x14ac:dyDescent="0.3">
      <c r="A13" s="8">
        <v>10</v>
      </c>
      <c r="B13" s="10">
        <v>3.2</v>
      </c>
      <c r="C13" s="9">
        <f t="shared" si="8"/>
        <v>38.400000000000006</v>
      </c>
      <c r="D13" s="9">
        <f t="shared" si="0"/>
        <v>36.400000000000006</v>
      </c>
      <c r="E13" s="9">
        <v>10</v>
      </c>
      <c r="F13" s="9">
        <f t="shared" si="1"/>
        <v>13249.600000000004</v>
      </c>
      <c r="G13" s="9">
        <f t="shared" si="2"/>
        <v>5.7506944444444459</v>
      </c>
      <c r="H13" s="10">
        <f t="shared" si="3"/>
        <v>5.8</v>
      </c>
      <c r="I13" s="9">
        <f t="shared" si="6"/>
        <v>8700</v>
      </c>
      <c r="J13" s="9">
        <f t="shared" si="4"/>
        <v>6960</v>
      </c>
      <c r="K13" s="9">
        <f t="shared" si="5"/>
        <v>5220</v>
      </c>
      <c r="L13" s="11">
        <f t="shared" si="7"/>
        <v>20880</v>
      </c>
    </row>
    <row r="14" spans="1:12" ht="17.399999999999999" x14ac:dyDescent="0.3">
      <c r="A14" s="8">
        <v>11</v>
      </c>
      <c r="B14" s="10">
        <v>3.4</v>
      </c>
      <c r="C14" s="9">
        <f t="shared" si="8"/>
        <v>40.799999999999997</v>
      </c>
      <c r="D14" s="9">
        <f>C14-2</f>
        <v>38.799999999999997</v>
      </c>
      <c r="E14" s="9">
        <v>10</v>
      </c>
      <c r="F14" s="9">
        <f t="shared" si="1"/>
        <v>15054.4</v>
      </c>
      <c r="G14" s="9">
        <f t="shared" si="2"/>
        <v>6.5340277777777773</v>
      </c>
      <c r="H14" s="10">
        <f t="shared" si="3"/>
        <v>6.5</v>
      </c>
      <c r="I14" s="9">
        <f t="shared" si="6"/>
        <v>9750</v>
      </c>
      <c r="J14" s="9">
        <f t="shared" si="4"/>
        <v>7800</v>
      </c>
      <c r="K14" s="9">
        <f t="shared" si="5"/>
        <v>5850</v>
      </c>
      <c r="L14" s="11">
        <f t="shared" si="7"/>
        <v>23400</v>
      </c>
    </row>
    <row r="15" spans="1:12" ht="17.399999999999999" x14ac:dyDescent="0.3">
      <c r="A15" s="8">
        <v>12</v>
      </c>
      <c r="B15" s="10">
        <v>3</v>
      </c>
      <c r="C15" s="9">
        <f t="shared" si="8"/>
        <v>36</v>
      </c>
      <c r="D15" s="9">
        <f t="shared" si="0"/>
        <v>34</v>
      </c>
      <c r="E15" s="9">
        <v>10</v>
      </c>
      <c r="F15" s="9">
        <f t="shared" si="1"/>
        <v>11560</v>
      </c>
      <c r="G15" s="9">
        <f t="shared" si="2"/>
        <v>5.0173611111111107</v>
      </c>
      <c r="H15" s="10">
        <f t="shared" si="3"/>
        <v>5</v>
      </c>
      <c r="I15" s="9">
        <f t="shared" si="6"/>
        <v>7500</v>
      </c>
      <c r="J15" s="9">
        <f t="shared" si="4"/>
        <v>6000</v>
      </c>
      <c r="K15" s="9">
        <f t="shared" si="5"/>
        <v>4500</v>
      </c>
      <c r="L15" s="11">
        <f t="shared" si="7"/>
        <v>18000</v>
      </c>
    </row>
    <row r="16" spans="1:12" ht="17.399999999999999" x14ac:dyDescent="0.3">
      <c r="A16" s="8">
        <v>13</v>
      </c>
      <c r="B16" s="10">
        <v>3.11</v>
      </c>
      <c r="C16" s="9">
        <f t="shared" si="8"/>
        <v>37.32</v>
      </c>
      <c r="D16" s="9">
        <f t="shared" si="0"/>
        <v>35.32</v>
      </c>
      <c r="E16" s="9">
        <v>10</v>
      </c>
      <c r="F16" s="9">
        <f t="shared" si="1"/>
        <v>12475.023999999999</v>
      </c>
      <c r="G16" s="9">
        <f t="shared" si="2"/>
        <v>5.4145069444444438</v>
      </c>
      <c r="H16" s="10">
        <f t="shared" si="3"/>
        <v>5.4</v>
      </c>
      <c r="I16" s="9">
        <f t="shared" si="6"/>
        <v>8100.0000000000009</v>
      </c>
      <c r="J16" s="9">
        <f t="shared" si="4"/>
        <v>6480</v>
      </c>
      <c r="K16" s="9">
        <f t="shared" si="5"/>
        <v>4860</v>
      </c>
      <c r="L16" s="11">
        <f t="shared" si="7"/>
        <v>19440</v>
      </c>
    </row>
    <row r="17" spans="1:12" ht="17.399999999999999" x14ac:dyDescent="0.3">
      <c r="A17" s="8">
        <v>14</v>
      </c>
      <c r="B17" s="10">
        <v>2.4</v>
      </c>
      <c r="C17" s="9">
        <f t="shared" si="8"/>
        <v>28.799999999999997</v>
      </c>
      <c r="D17" s="9">
        <f t="shared" si="0"/>
        <v>26.799999999999997</v>
      </c>
      <c r="E17" s="9">
        <v>10</v>
      </c>
      <c r="F17" s="9">
        <f t="shared" si="1"/>
        <v>7182.4</v>
      </c>
      <c r="G17" s="9">
        <f t="shared" si="2"/>
        <v>3.1173611111111108</v>
      </c>
      <c r="H17" s="10">
        <f t="shared" si="3"/>
        <v>3.1</v>
      </c>
      <c r="I17" s="9">
        <f t="shared" si="6"/>
        <v>4650</v>
      </c>
      <c r="J17" s="9">
        <f t="shared" si="4"/>
        <v>3720</v>
      </c>
      <c r="K17" s="9">
        <f t="shared" si="5"/>
        <v>2790</v>
      </c>
      <c r="L17" s="11">
        <f t="shared" si="7"/>
        <v>11160</v>
      </c>
    </row>
    <row r="18" spans="1:12" ht="17.399999999999999" x14ac:dyDescent="0.3">
      <c r="A18" s="8">
        <v>15</v>
      </c>
      <c r="B18" s="10">
        <v>3.2</v>
      </c>
      <c r="C18" s="9">
        <f t="shared" si="8"/>
        <v>38.400000000000006</v>
      </c>
      <c r="D18" s="9">
        <f t="shared" si="0"/>
        <v>36.400000000000006</v>
      </c>
      <c r="E18" s="9">
        <v>10</v>
      </c>
      <c r="F18" s="9">
        <f t="shared" si="1"/>
        <v>13249.600000000004</v>
      </c>
      <c r="G18" s="9">
        <f t="shared" si="2"/>
        <v>5.7506944444444459</v>
      </c>
      <c r="H18" s="10">
        <f t="shared" si="3"/>
        <v>5.8</v>
      </c>
      <c r="I18" s="9">
        <f t="shared" si="6"/>
        <v>8700</v>
      </c>
      <c r="J18" s="9">
        <f t="shared" si="4"/>
        <v>6960</v>
      </c>
      <c r="K18" s="9">
        <f t="shared" si="5"/>
        <v>5220</v>
      </c>
      <c r="L18" s="11">
        <f t="shared" si="7"/>
        <v>20880</v>
      </c>
    </row>
    <row r="19" spans="1:12" ht="17.399999999999999" x14ac:dyDescent="0.3">
      <c r="A19" s="8">
        <v>16</v>
      </c>
      <c r="B19" s="10">
        <v>1.1000000000000001</v>
      </c>
      <c r="C19" s="9">
        <f t="shared" si="8"/>
        <v>13.200000000000001</v>
      </c>
      <c r="D19" s="9">
        <f t="shared" si="0"/>
        <v>11.200000000000001</v>
      </c>
      <c r="E19" s="9">
        <v>10</v>
      </c>
      <c r="F19" s="9">
        <f t="shared" si="1"/>
        <v>1254.4000000000003</v>
      </c>
      <c r="G19" s="9">
        <f t="shared" si="2"/>
        <v>0.54444444444444462</v>
      </c>
      <c r="H19" s="10">
        <f t="shared" si="3"/>
        <v>0.5</v>
      </c>
      <c r="I19" s="9">
        <f t="shared" si="6"/>
        <v>750</v>
      </c>
      <c r="J19" s="9">
        <f t="shared" si="4"/>
        <v>600</v>
      </c>
      <c r="K19" s="9">
        <f t="shared" si="5"/>
        <v>450</v>
      </c>
      <c r="L19" s="11">
        <f t="shared" si="7"/>
        <v>1800</v>
      </c>
    </row>
    <row r="20" spans="1:12" ht="17.399999999999999" x14ac:dyDescent="0.3">
      <c r="A20" s="8">
        <v>17</v>
      </c>
      <c r="B20" s="10">
        <v>2.8</v>
      </c>
      <c r="C20" s="9">
        <f t="shared" si="8"/>
        <v>33.599999999999994</v>
      </c>
      <c r="D20" s="9">
        <f t="shared" si="0"/>
        <v>31.599999999999994</v>
      </c>
      <c r="E20" s="9">
        <v>10</v>
      </c>
      <c r="F20" s="9">
        <f t="shared" si="1"/>
        <v>9985.5999999999967</v>
      </c>
      <c r="G20" s="9">
        <f t="shared" si="2"/>
        <v>4.3340277777777763</v>
      </c>
      <c r="H20" s="10">
        <f t="shared" si="3"/>
        <v>4.3</v>
      </c>
      <c r="I20" s="9">
        <f t="shared" si="6"/>
        <v>6450</v>
      </c>
      <c r="J20" s="9">
        <f t="shared" si="4"/>
        <v>5160</v>
      </c>
      <c r="K20" s="9">
        <f t="shared" si="5"/>
        <v>3870</v>
      </c>
      <c r="L20" s="11">
        <f t="shared" si="7"/>
        <v>15480</v>
      </c>
    </row>
    <row r="21" spans="1:12" ht="17.399999999999999" x14ac:dyDescent="0.3">
      <c r="A21" s="8">
        <v>18</v>
      </c>
      <c r="B21" s="10">
        <v>2</v>
      </c>
      <c r="C21" s="9">
        <f t="shared" si="8"/>
        <v>24</v>
      </c>
      <c r="D21" s="9">
        <f t="shared" si="0"/>
        <v>22</v>
      </c>
      <c r="E21" s="9">
        <v>10</v>
      </c>
      <c r="F21" s="9">
        <f t="shared" si="1"/>
        <v>4840</v>
      </c>
      <c r="G21" s="9">
        <f t="shared" si="2"/>
        <v>2.1006944444444446</v>
      </c>
      <c r="H21" s="10">
        <f t="shared" si="3"/>
        <v>2.1</v>
      </c>
      <c r="I21" s="9">
        <f t="shared" si="6"/>
        <v>3150</v>
      </c>
      <c r="J21" s="9">
        <f t="shared" si="4"/>
        <v>2520</v>
      </c>
      <c r="K21" s="9">
        <f t="shared" si="5"/>
        <v>1890</v>
      </c>
      <c r="L21" s="11">
        <f t="shared" si="7"/>
        <v>7560</v>
      </c>
    </row>
    <row r="22" spans="1:12" ht="17.399999999999999" x14ac:dyDescent="0.3">
      <c r="A22" s="8">
        <v>19</v>
      </c>
      <c r="B22" s="13">
        <v>4.4000000000000004</v>
      </c>
      <c r="C22" s="12">
        <f t="shared" si="8"/>
        <v>52.800000000000004</v>
      </c>
      <c r="D22" s="12">
        <f t="shared" si="0"/>
        <v>50.800000000000004</v>
      </c>
      <c r="E22" s="9">
        <v>10</v>
      </c>
      <c r="F22" s="12">
        <f t="shared" si="1"/>
        <v>25806.400000000005</v>
      </c>
      <c r="G22" s="12">
        <f t="shared" si="2"/>
        <v>11.200694444444446</v>
      </c>
      <c r="H22" s="13">
        <f t="shared" si="3"/>
        <v>11.2</v>
      </c>
      <c r="I22" s="9">
        <f t="shared" si="6"/>
        <v>16800</v>
      </c>
      <c r="J22" s="9">
        <f t="shared" si="4"/>
        <v>13440</v>
      </c>
      <c r="K22" s="9">
        <f t="shared" si="5"/>
        <v>10080</v>
      </c>
      <c r="L22" s="11">
        <f t="shared" si="7"/>
        <v>40320</v>
      </c>
    </row>
    <row r="23" spans="1:12" ht="17.399999999999999" x14ac:dyDescent="0.3">
      <c r="A23" s="8">
        <v>20</v>
      </c>
      <c r="B23" s="13">
        <v>3.6</v>
      </c>
      <c r="C23" s="12">
        <f t="shared" si="8"/>
        <v>43.2</v>
      </c>
      <c r="D23" s="12">
        <f t="shared" si="0"/>
        <v>41.2</v>
      </c>
      <c r="E23" s="9">
        <v>10</v>
      </c>
      <c r="F23" s="12">
        <f t="shared" si="1"/>
        <v>16974.400000000001</v>
      </c>
      <c r="G23" s="12">
        <f t="shared" si="2"/>
        <v>7.3673611111111121</v>
      </c>
      <c r="H23" s="13">
        <f t="shared" si="3"/>
        <v>7.4</v>
      </c>
      <c r="I23" s="9">
        <f t="shared" si="6"/>
        <v>11100</v>
      </c>
      <c r="J23" s="9">
        <f t="shared" si="4"/>
        <v>8880</v>
      </c>
      <c r="K23" s="9">
        <f t="shared" si="5"/>
        <v>6660</v>
      </c>
      <c r="L23" s="11">
        <f t="shared" si="7"/>
        <v>26640</v>
      </c>
    </row>
    <row r="24" spans="1:12" ht="17.399999999999999" x14ac:dyDescent="0.3">
      <c r="A24" s="8">
        <v>21</v>
      </c>
      <c r="B24" s="13">
        <v>3</v>
      </c>
      <c r="C24" s="12">
        <f t="shared" si="8"/>
        <v>36</v>
      </c>
      <c r="D24" s="12">
        <f t="shared" si="0"/>
        <v>34</v>
      </c>
      <c r="E24" s="9">
        <v>10</v>
      </c>
      <c r="F24" s="12">
        <f t="shared" si="1"/>
        <v>11560</v>
      </c>
      <c r="G24" s="12">
        <f t="shared" si="2"/>
        <v>5.0173611111111107</v>
      </c>
      <c r="H24" s="13">
        <f t="shared" si="3"/>
        <v>5</v>
      </c>
      <c r="I24" s="9">
        <f t="shared" si="6"/>
        <v>7500</v>
      </c>
      <c r="J24" s="9">
        <f t="shared" si="4"/>
        <v>6000</v>
      </c>
      <c r="K24" s="9">
        <f t="shared" si="5"/>
        <v>4500</v>
      </c>
      <c r="L24" s="11">
        <f t="shared" si="7"/>
        <v>18000</v>
      </c>
    </row>
    <row r="25" spans="1:12" ht="17.399999999999999" x14ac:dyDescent="0.3">
      <c r="A25" s="8">
        <v>22</v>
      </c>
      <c r="B25" s="13">
        <v>3.9</v>
      </c>
      <c r="C25" s="12">
        <f t="shared" si="8"/>
        <v>46.8</v>
      </c>
      <c r="D25" s="12">
        <f t="shared" si="0"/>
        <v>44.8</v>
      </c>
      <c r="E25" s="9">
        <v>10</v>
      </c>
      <c r="F25" s="12">
        <f t="shared" si="1"/>
        <v>20070.399999999998</v>
      </c>
      <c r="G25" s="12">
        <f t="shared" si="2"/>
        <v>8.7111111111111104</v>
      </c>
      <c r="H25" s="13">
        <f t="shared" si="3"/>
        <v>8.6999999999999993</v>
      </c>
      <c r="I25" s="9">
        <f t="shared" si="6"/>
        <v>13049.999999999998</v>
      </c>
      <c r="J25" s="9">
        <f t="shared" si="4"/>
        <v>10440</v>
      </c>
      <c r="K25" s="9">
        <f t="shared" si="5"/>
        <v>7829.9999999999991</v>
      </c>
      <c r="L25" s="11">
        <f t="shared" si="7"/>
        <v>31320</v>
      </c>
    </row>
    <row r="26" spans="1:12" ht="17.399999999999999" x14ac:dyDescent="0.3">
      <c r="A26" s="8">
        <v>23</v>
      </c>
      <c r="B26" s="13">
        <v>3.9</v>
      </c>
      <c r="C26" s="12">
        <f t="shared" si="8"/>
        <v>46.8</v>
      </c>
      <c r="D26" s="12">
        <f t="shared" si="0"/>
        <v>44.8</v>
      </c>
      <c r="E26" s="9">
        <v>10</v>
      </c>
      <c r="F26" s="12">
        <f t="shared" si="1"/>
        <v>20070.399999999998</v>
      </c>
      <c r="G26" s="12">
        <f t="shared" si="2"/>
        <v>8.7111111111111104</v>
      </c>
      <c r="H26" s="13">
        <f t="shared" si="3"/>
        <v>8.6999999999999993</v>
      </c>
      <c r="I26" s="9">
        <f t="shared" si="6"/>
        <v>13049.999999999998</v>
      </c>
      <c r="J26" s="9">
        <f t="shared" si="4"/>
        <v>10440</v>
      </c>
      <c r="K26" s="9">
        <f t="shared" si="5"/>
        <v>7829.9999999999991</v>
      </c>
      <c r="L26" s="11">
        <f t="shared" si="7"/>
        <v>31320</v>
      </c>
    </row>
    <row r="27" spans="1:12" ht="17.399999999999999" x14ac:dyDescent="0.3">
      <c r="A27" s="8">
        <v>24</v>
      </c>
      <c r="B27" s="13">
        <v>2.4</v>
      </c>
      <c r="C27" s="12">
        <f t="shared" si="8"/>
        <v>28.799999999999997</v>
      </c>
      <c r="D27" s="12">
        <f t="shared" si="0"/>
        <v>26.799999999999997</v>
      </c>
      <c r="E27" s="9">
        <v>10</v>
      </c>
      <c r="F27" s="12">
        <f t="shared" si="1"/>
        <v>7182.4</v>
      </c>
      <c r="G27" s="12">
        <f t="shared" si="2"/>
        <v>3.1173611111111108</v>
      </c>
      <c r="H27" s="13">
        <f t="shared" si="3"/>
        <v>3.1</v>
      </c>
      <c r="I27" s="9">
        <f t="shared" si="6"/>
        <v>4650</v>
      </c>
      <c r="J27" s="9">
        <f t="shared" si="4"/>
        <v>3720</v>
      </c>
      <c r="K27" s="9">
        <f t="shared" si="5"/>
        <v>2790</v>
      </c>
      <c r="L27" s="11">
        <f t="shared" si="7"/>
        <v>11160</v>
      </c>
    </row>
    <row r="28" spans="1:12" ht="17.399999999999999" x14ac:dyDescent="0.3">
      <c r="A28" s="8">
        <v>25</v>
      </c>
      <c r="B28" s="13">
        <v>3</v>
      </c>
      <c r="C28" s="12">
        <f t="shared" si="8"/>
        <v>36</v>
      </c>
      <c r="D28" s="12">
        <f t="shared" si="0"/>
        <v>34</v>
      </c>
      <c r="E28" s="9">
        <v>10</v>
      </c>
      <c r="F28" s="12">
        <f t="shared" si="1"/>
        <v>11560</v>
      </c>
      <c r="G28" s="12">
        <f t="shared" si="2"/>
        <v>5.0173611111111107</v>
      </c>
      <c r="H28" s="13">
        <f t="shared" si="3"/>
        <v>5</v>
      </c>
      <c r="I28" s="9">
        <f t="shared" si="6"/>
        <v>7500</v>
      </c>
      <c r="J28" s="9">
        <f t="shared" si="4"/>
        <v>6000</v>
      </c>
      <c r="K28" s="9">
        <f t="shared" si="5"/>
        <v>4500</v>
      </c>
      <c r="L28" s="11">
        <f t="shared" si="7"/>
        <v>18000</v>
      </c>
    </row>
    <row r="29" spans="1:12" ht="17.399999999999999" x14ac:dyDescent="0.3">
      <c r="A29" s="8">
        <v>26</v>
      </c>
      <c r="B29" s="13">
        <v>2.11</v>
      </c>
      <c r="C29" s="12">
        <f t="shared" si="8"/>
        <v>25.32</v>
      </c>
      <c r="D29" s="12">
        <f t="shared" si="0"/>
        <v>23.32</v>
      </c>
      <c r="E29" s="9">
        <v>10</v>
      </c>
      <c r="F29" s="12">
        <f t="shared" si="1"/>
        <v>5438.2240000000002</v>
      </c>
      <c r="G29" s="12">
        <f t="shared" si="2"/>
        <v>2.360340277777778</v>
      </c>
      <c r="H29" s="13">
        <f t="shared" si="3"/>
        <v>2.4</v>
      </c>
      <c r="I29" s="9">
        <f t="shared" si="6"/>
        <v>3600</v>
      </c>
      <c r="J29" s="9">
        <f t="shared" si="4"/>
        <v>2880</v>
      </c>
      <c r="K29" s="9">
        <f t="shared" si="5"/>
        <v>2160</v>
      </c>
      <c r="L29" s="11">
        <f t="shared" si="7"/>
        <v>8640</v>
      </c>
    </row>
    <row r="30" spans="1:12" ht="17.399999999999999" x14ac:dyDescent="0.3">
      <c r="A30" s="8">
        <v>27</v>
      </c>
      <c r="B30" s="13">
        <v>3.2</v>
      </c>
      <c r="C30" s="12">
        <f t="shared" si="8"/>
        <v>38.400000000000006</v>
      </c>
      <c r="D30" s="12">
        <f t="shared" si="0"/>
        <v>36.400000000000006</v>
      </c>
      <c r="E30" s="9">
        <v>10</v>
      </c>
      <c r="F30" s="12">
        <f t="shared" si="1"/>
        <v>13249.600000000004</v>
      </c>
      <c r="G30" s="12">
        <f t="shared" si="2"/>
        <v>5.7506944444444459</v>
      </c>
      <c r="H30" s="13">
        <f t="shared" si="3"/>
        <v>5.8</v>
      </c>
      <c r="I30" s="9">
        <f t="shared" si="6"/>
        <v>8700</v>
      </c>
      <c r="J30" s="9">
        <f t="shared" si="4"/>
        <v>6960</v>
      </c>
      <c r="K30" s="9">
        <f t="shared" si="5"/>
        <v>5220</v>
      </c>
      <c r="L30" s="11">
        <f t="shared" si="7"/>
        <v>20880</v>
      </c>
    </row>
    <row r="31" spans="1:12" ht="17.399999999999999" x14ac:dyDescent="0.3">
      <c r="A31" s="8">
        <v>28</v>
      </c>
      <c r="B31" s="13">
        <v>4.0999999999999996</v>
      </c>
      <c r="C31" s="12">
        <f t="shared" si="8"/>
        <v>49.199999999999996</v>
      </c>
      <c r="D31" s="12">
        <f t="shared" si="0"/>
        <v>47.199999999999996</v>
      </c>
      <c r="E31" s="9">
        <v>10</v>
      </c>
      <c r="F31" s="12">
        <f t="shared" si="1"/>
        <v>22278.399999999994</v>
      </c>
      <c r="G31" s="12">
        <f t="shared" si="2"/>
        <v>9.6694444444444425</v>
      </c>
      <c r="H31" s="13">
        <f t="shared" si="3"/>
        <v>9.6999999999999993</v>
      </c>
      <c r="I31" s="9">
        <f t="shared" si="6"/>
        <v>14549.999999999998</v>
      </c>
      <c r="J31" s="9">
        <f t="shared" si="4"/>
        <v>11640</v>
      </c>
      <c r="K31" s="9">
        <f t="shared" si="5"/>
        <v>8730</v>
      </c>
      <c r="L31" s="11">
        <f t="shared" si="7"/>
        <v>34920</v>
      </c>
    </row>
    <row r="32" spans="1:12" ht="17.399999999999999" x14ac:dyDescent="0.3">
      <c r="A32" s="8">
        <v>29</v>
      </c>
      <c r="B32" s="13">
        <v>3.1</v>
      </c>
      <c r="C32" s="12">
        <f t="shared" si="8"/>
        <v>37.200000000000003</v>
      </c>
      <c r="D32" s="12">
        <f t="shared" si="0"/>
        <v>35.200000000000003</v>
      </c>
      <c r="E32" s="9">
        <v>10</v>
      </c>
      <c r="F32" s="12">
        <f t="shared" si="1"/>
        <v>12390.400000000001</v>
      </c>
      <c r="G32" s="12">
        <f t="shared" si="2"/>
        <v>5.3777777777777782</v>
      </c>
      <c r="H32" s="13">
        <f t="shared" si="3"/>
        <v>5.4</v>
      </c>
      <c r="I32" s="9">
        <f t="shared" si="6"/>
        <v>8100.0000000000009</v>
      </c>
      <c r="J32" s="9">
        <f t="shared" si="4"/>
        <v>6480</v>
      </c>
      <c r="K32" s="9">
        <f t="shared" si="5"/>
        <v>4860</v>
      </c>
      <c r="L32" s="11">
        <f t="shared" si="7"/>
        <v>19440</v>
      </c>
    </row>
    <row r="33" spans="1:12" ht="17.399999999999999" x14ac:dyDescent="0.3">
      <c r="A33" s="8">
        <v>30</v>
      </c>
      <c r="B33" s="13">
        <v>4.8</v>
      </c>
      <c r="C33" s="12">
        <f t="shared" si="8"/>
        <v>57.599999999999994</v>
      </c>
      <c r="D33" s="12">
        <f t="shared" si="0"/>
        <v>55.599999999999994</v>
      </c>
      <c r="E33" s="9">
        <v>10</v>
      </c>
      <c r="F33" s="12">
        <f t="shared" si="1"/>
        <v>30913.599999999999</v>
      </c>
      <c r="G33" s="12">
        <f t="shared" si="2"/>
        <v>13.417361111111111</v>
      </c>
      <c r="H33" s="13">
        <f t="shared" si="3"/>
        <v>13.4</v>
      </c>
      <c r="I33" s="9">
        <f t="shared" si="6"/>
        <v>20100</v>
      </c>
      <c r="J33" s="9">
        <f t="shared" si="4"/>
        <v>16080</v>
      </c>
      <c r="K33" s="9">
        <f t="shared" si="5"/>
        <v>12060</v>
      </c>
      <c r="L33" s="11">
        <f t="shared" si="7"/>
        <v>48240</v>
      </c>
    </row>
    <row r="34" spans="1:12" ht="17.399999999999999" x14ac:dyDescent="0.3">
      <c r="A34" s="8">
        <v>31</v>
      </c>
      <c r="B34" s="13">
        <v>2.1</v>
      </c>
      <c r="C34" s="12">
        <f t="shared" si="8"/>
        <v>25.200000000000003</v>
      </c>
      <c r="D34" s="12">
        <f t="shared" si="0"/>
        <v>23.200000000000003</v>
      </c>
      <c r="E34" s="9">
        <v>10</v>
      </c>
      <c r="F34" s="12">
        <f t="shared" si="1"/>
        <v>5382.4000000000015</v>
      </c>
      <c r="G34" s="12">
        <f t="shared" si="2"/>
        <v>2.3361111111111117</v>
      </c>
      <c r="H34" s="13">
        <f t="shared" si="3"/>
        <v>2.2999999999999998</v>
      </c>
      <c r="I34" s="9">
        <f t="shared" si="6"/>
        <v>3449.9999999999995</v>
      </c>
      <c r="J34" s="9">
        <f t="shared" si="4"/>
        <v>2760</v>
      </c>
      <c r="K34" s="9">
        <f t="shared" si="5"/>
        <v>2070</v>
      </c>
      <c r="L34" s="11">
        <f t="shared" si="7"/>
        <v>8280</v>
      </c>
    </row>
    <row r="35" spans="1:12" ht="17.399999999999999" x14ac:dyDescent="0.3">
      <c r="A35" s="8">
        <v>32</v>
      </c>
      <c r="B35" s="13">
        <v>2</v>
      </c>
      <c r="C35" s="12">
        <f t="shared" si="8"/>
        <v>24</v>
      </c>
      <c r="D35" s="12">
        <f t="shared" si="0"/>
        <v>22</v>
      </c>
      <c r="E35" s="9">
        <v>10</v>
      </c>
      <c r="F35" s="12">
        <f t="shared" si="1"/>
        <v>4840</v>
      </c>
      <c r="G35" s="12">
        <f t="shared" si="2"/>
        <v>2.1006944444444446</v>
      </c>
      <c r="H35" s="13">
        <f t="shared" si="3"/>
        <v>2.1</v>
      </c>
      <c r="I35" s="9">
        <f t="shared" si="6"/>
        <v>3150</v>
      </c>
      <c r="J35" s="9">
        <f t="shared" si="4"/>
        <v>2520</v>
      </c>
      <c r="K35" s="9">
        <f t="shared" si="5"/>
        <v>1890</v>
      </c>
      <c r="L35" s="11">
        <f t="shared" si="7"/>
        <v>7560</v>
      </c>
    </row>
    <row r="36" spans="1:12" ht="17.399999999999999" x14ac:dyDescent="0.3">
      <c r="A36" s="8">
        <v>33</v>
      </c>
      <c r="B36" s="13">
        <v>4</v>
      </c>
      <c r="C36" s="12">
        <f t="shared" si="8"/>
        <v>48</v>
      </c>
      <c r="D36" s="12">
        <f t="shared" si="0"/>
        <v>46</v>
      </c>
      <c r="E36" s="9">
        <v>10</v>
      </c>
      <c r="F36" s="12">
        <f t="shared" si="1"/>
        <v>21160</v>
      </c>
      <c r="G36" s="12">
        <f t="shared" si="2"/>
        <v>9.1840277777777786</v>
      </c>
      <c r="H36" s="13">
        <f t="shared" si="3"/>
        <v>9.1999999999999993</v>
      </c>
      <c r="I36" s="9">
        <f t="shared" si="6"/>
        <v>13799.999999999998</v>
      </c>
      <c r="J36" s="9">
        <f t="shared" si="4"/>
        <v>11040</v>
      </c>
      <c r="K36" s="9">
        <f t="shared" si="5"/>
        <v>8280</v>
      </c>
      <c r="L36" s="11">
        <f t="shared" si="7"/>
        <v>33120</v>
      </c>
    </row>
    <row r="37" spans="1:12" ht="17.399999999999999" x14ac:dyDescent="0.3">
      <c r="A37" s="8">
        <v>34</v>
      </c>
      <c r="B37" s="13">
        <v>2.4</v>
      </c>
      <c r="C37" s="12">
        <f t="shared" si="8"/>
        <v>28.799999999999997</v>
      </c>
      <c r="D37" s="12">
        <f t="shared" si="0"/>
        <v>26.799999999999997</v>
      </c>
      <c r="E37" s="9">
        <v>10</v>
      </c>
      <c r="F37" s="12">
        <f t="shared" si="1"/>
        <v>7182.4</v>
      </c>
      <c r="G37" s="12">
        <f t="shared" si="2"/>
        <v>3.1173611111111108</v>
      </c>
      <c r="H37" s="13">
        <f t="shared" si="3"/>
        <v>3.1</v>
      </c>
      <c r="I37" s="9">
        <f t="shared" si="6"/>
        <v>4650</v>
      </c>
      <c r="J37" s="9">
        <f t="shared" si="4"/>
        <v>3720</v>
      </c>
      <c r="K37" s="9">
        <f t="shared" si="5"/>
        <v>2790</v>
      </c>
      <c r="L37" s="11">
        <f t="shared" si="7"/>
        <v>11160</v>
      </c>
    </row>
    <row r="38" spans="1:12" ht="17.399999999999999" x14ac:dyDescent="0.3">
      <c r="A38" s="8">
        <v>35</v>
      </c>
      <c r="B38" s="13">
        <v>2.9</v>
      </c>
      <c r="C38" s="12">
        <f t="shared" si="8"/>
        <v>34.799999999999997</v>
      </c>
      <c r="D38" s="12">
        <f t="shared" si="0"/>
        <v>32.799999999999997</v>
      </c>
      <c r="E38" s="9">
        <v>10</v>
      </c>
      <c r="F38" s="12">
        <f t="shared" si="1"/>
        <v>10758.4</v>
      </c>
      <c r="G38" s="12">
        <f t="shared" si="2"/>
        <v>4.6694444444444443</v>
      </c>
      <c r="H38" s="13">
        <f t="shared" si="3"/>
        <v>4.7</v>
      </c>
      <c r="I38" s="9">
        <f t="shared" si="6"/>
        <v>7050</v>
      </c>
      <c r="J38" s="9">
        <f t="shared" si="4"/>
        <v>5640</v>
      </c>
      <c r="K38" s="9">
        <f t="shared" si="5"/>
        <v>4230</v>
      </c>
      <c r="L38" s="11">
        <f t="shared" si="7"/>
        <v>16920</v>
      </c>
    </row>
    <row r="39" spans="1:12" ht="17.399999999999999" x14ac:dyDescent="0.3">
      <c r="A39" s="8">
        <v>36</v>
      </c>
      <c r="B39" s="13">
        <v>3.7</v>
      </c>
      <c r="C39" s="12">
        <f t="shared" si="8"/>
        <v>44.400000000000006</v>
      </c>
      <c r="D39" s="12">
        <f t="shared" si="0"/>
        <v>42.400000000000006</v>
      </c>
      <c r="E39" s="9">
        <v>10</v>
      </c>
      <c r="F39" s="12">
        <f t="shared" si="1"/>
        <v>17977.600000000006</v>
      </c>
      <c r="G39" s="12">
        <f t="shared" si="2"/>
        <v>7.8027777777777807</v>
      </c>
      <c r="H39" s="13">
        <f t="shared" si="3"/>
        <v>7.8</v>
      </c>
      <c r="I39" s="9">
        <f t="shared" si="6"/>
        <v>11700</v>
      </c>
      <c r="J39" s="9">
        <f t="shared" si="4"/>
        <v>9360</v>
      </c>
      <c r="K39" s="9">
        <f t="shared" si="5"/>
        <v>7020</v>
      </c>
      <c r="L39" s="11">
        <f t="shared" si="7"/>
        <v>28080</v>
      </c>
    </row>
    <row r="40" spans="1:12" ht="17.399999999999999" x14ac:dyDescent="0.3">
      <c r="A40" s="8">
        <v>37</v>
      </c>
      <c r="B40" s="10">
        <v>5.8</v>
      </c>
      <c r="C40" s="12">
        <f t="shared" si="8"/>
        <v>69.599999999999994</v>
      </c>
      <c r="D40" s="12">
        <f t="shared" si="0"/>
        <v>67.599999999999994</v>
      </c>
      <c r="E40" s="9">
        <v>10</v>
      </c>
      <c r="F40" s="12">
        <f t="shared" si="1"/>
        <v>45697.599999999999</v>
      </c>
      <c r="G40" s="12">
        <f t="shared" si="2"/>
        <v>19.834027777777777</v>
      </c>
      <c r="H40" s="13">
        <f t="shared" si="3"/>
        <v>19.8</v>
      </c>
      <c r="I40" s="9">
        <f t="shared" si="6"/>
        <v>29700</v>
      </c>
      <c r="J40" s="9">
        <f t="shared" si="4"/>
        <v>23760</v>
      </c>
      <c r="K40" s="9">
        <f t="shared" si="5"/>
        <v>17820</v>
      </c>
      <c r="L40" s="11">
        <f t="shared" si="7"/>
        <v>71280</v>
      </c>
    </row>
    <row r="41" spans="1:12" ht="17.399999999999999" x14ac:dyDescent="0.3">
      <c r="A41" s="8">
        <v>38</v>
      </c>
      <c r="B41" s="10">
        <v>3.4</v>
      </c>
      <c r="C41" s="12">
        <f t="shared" si="8"/>
        <v>40.799999999999997</v>
      </c>
      <c r="D41" s="12">
        <f t="shared" si="0"/>
        <v>38.799999999999997</v>
      </c>
      <c r="E41" s="9">
        <v>10</v>
      </c>
      <c r="F41" s="12">
        <f t="shared" si="1"/>
        <v>15054.4</v>
      </c>
      <c r="G41" s="12">
        <f t="shared" si="2"/>
        <v>6.5340277777777773</v>
      </c>
      <c r="H41" s="13">
        <f t="shared" si="3"/>
        <v>6.5</v>
      </c>
      <c r="I41" s="9">
        <f t="shared" si="6"/>
        <v>9750</v>
      </c>
      <c r="J41" s="9">
        <f t="shared" si="4"/>
        <v>7800</v>
      </c>
      <c r="K41" s="9">
        <f t="shared" si="5"/>
        <v>5850</v>
      </c>
      <c r="L41" s="11">
        <f t="shared" si="7"/>
        <v>23400</v>
      </c>
    </row>
    <row r="42" spans="1:12" ht="17.399999999999999" x14ac:dyDescent="0.3">
      <c r="A42" s="8">
        <v>39</v>
      </c>
      <c r="B42" s="10">
        <v>5.3</v>
      </c>
      <c r="C42" s="12">
        <f t="shared" si="8"/>
        <v>63.599999999999994</v>
      </c>
      <c r="D42" s="12">
        <f t="shared" si="0"/>
        <v>61.599999999999994</v>
      </c>
      <c r="E42" s="9">
        <v>10</v>
      </c>
      <c r="F42" s="12">
        <f t="shared" si="1"/>
        <v>37945.599999999999</v>
      </c>
      <c r="G42" s="12">
        <f t="shared" si="2"/>
        <v>16.469444444444445</v>
      </c>
      <c r="H42" s="13">
        <f t="shared" si="3"/>
        <v>16.5</v>
      </c>
      <c r="I42" s="9">
        <f t="shared" si="6"/>
        <v>24750</v>
      </c>
      <c r="J42" s="9">
        <f t="shared" si="4"/>
        <v>19800</v>
      </c>
      <c r="K42" s="9">
        <f t="shared" si="5"/>
        <v>14850</v>
      </c>
      <c r="L42" s="11">
        <f t="shared" si="7"/>
        <v>59400</v>
      </c>
    </row>
    <row r="43" spans="1:12" ht="17.399999999999999" x14ac:dyDescent="0.3">
      <c r="A43" s="8">
        <v>40</v>
      </c>
      <c r="B43" s="10">
        <v>2.2999999999999998</v>
      </c>
      <c r="C43" s="9">
        <f t="shared" si="8"/>
        <v>27.599999999999998</v>
      </c>
      <c r="D43" s="9">
        <f t="shared" si="0"/>
        <v>25.599999999999998</v>
      </c>
      <c r="E43" s="9">
        <v>10</v>
      </c>
      <c r="F43" s="12">
        <f t="shared" si="1"/>
        <v>6553.5999999999985</v>
      </c>
      <c r="G43" s="12">
        <f t="shared" si="2"/>
        <v>2.8444444444444437</v>
      </c>
      <c r="H43" s="13">
        <f t="shared" si="3"/>
        <v>2.8</v>
      </c>
      <c r="I43" s="9">
        <f t="shared" si="6"/>
        <v>4200</v>
      </c>
      <c r="J43" s="9">
        <f t="shared" si="4"/>
        <v>3360</v>
      </c>
      <c r="K43" s="9">
        <f t="shared" si="5"/>
        <v>2520</v>
      </c>
      <c r="L43" s="11">
        <f t="shared" si="7"/>
        <v>10080</v>
      </c>
    </row>
    <row r="44" spans="1:12" ht="17.399999999999999" x14ac:dyDescent="0.3">
      <c r="A44" s="8">
        <v>41</v>
      </c>
      <c r="B44" s="10">
        <v>3.11</v>
      </c>
      <c r="C44" s="9">
        <f t="shared" si="8"/>
        <v>37.32</v>
      </c>
      <c r="D44" s="9">
        <f t="shared" si="0"/>
        <v>35.32</v>
      </c>
      <c r="E44" s="9">
        <v>10</v>
      </c>
      <c r="F44" s="12">
        <f t="shared" si="1"/>
        <v>12475.023999999999</v>
      </c>
      <c r="G44" s="12">
        <f t="shared" si="2"/>
        <v>5.4145069444444438</v>
      </c>
      <c r="H44" s="13">
        <f t="shared" si="3"/>
        <v>5.4</v>
      </c>
      <c r="I44" s="9">
        <f t="shared" si="6"/>
        <v>8100.0000000000009</v>
      </c>
      <c r="J44" s="9">
        <f t="shared" si="4"/>
        <v>6480</v>
      </c>
      <c r="K44" s="9">
        <f t="shared" si="5"/>
        <v>4860</v>
      </c>
      <c r="L44" s="11">
        <f t="shared" si="7"/>
        <v>19440</v>
      </c>
    </row>
    <row r="45" spans="1:12" ht="17.399999999999999" x14ac:dyDescent="0.3">
      <c r="A45" s="8">
        <v>42</v>
      </c>
      <c r="B45" s="10">
        <v>2.2000000000000002</v>
      </c>
      <c r="C45" s="9">
        <f t="shared" si="8"/>
        <v>26.400000000000002</v>
      </c>
      <c r="D45" s="9">
        <f t="shared" si="0"/>
        <v>24.400000000000002</v>
      </c>
      <c r="E45" s="9">
        <v>10</v>
      </c>
      <c r="F45" s="12">
        <f t="shared" si="1"/>
        <v>5953.6000000000013</v>
      </c>
      <c r="G45" s="12">
        <f t="shared" si="2"/>
        <v>2.5840277777777785</v>
      </c>
      <c r="H45" s="13">
        <f t="shared" si="3"/>
        <v>2.6</v>
      </c>
      <c r="I45" s="9">
        <f t="shared" si="6"/>
        <v>3900</v>
      </c>
      <c r="J45" s="9">
        <f t="shared" si="4"/>
        <v>3120</v>
      </c>
      <c r="K45" s="9">
        <f t="shared" si="5"/>
        <v>2340</v>
      </c>
      <c r="L45" s="11">
        <f t="shared" si="7"/>
        <v>9360</v>
      </c>
    </row>
    <row r="46" spans="1:12" ht="17.399999999999999" x14ac:dyDescent="0.3">
      <c r="A46" s="8">
        <v>43</v>
      </c>
      <c r="B46" s="10">
        <v>1</v>
      </c>
      <c r="C46" s="9">
        <f t="shared" si="8"/>
        <v>12</v>
      </c>
      <c r="D46" s="9">
        <f t="shared" si="0"/>
        <v>10</v>
      </c>
      <c r="E46" s="9">
        <v>10</v>
      </c>
      <c r="F46" s="12">
        <f t="shared" si="1"/>
        <v>1000</v>
      </c>
      <c r="G46" s="12">
        <f t="shared" si="2"/>
        <v>0.43402777777777779</v>
      </c>
      <c r="H46" s="13">
        <f t="shared" si="3"/>
        <v>0.4</v>
      </c>
      <c r="I46" s="9">
        <f t="shared" si="6"/>
        <v>600</v>
      </c>
      <c r="J46" s="9">
        <f t="shared" si="4"/>
        <v>480</v>
      </c>
      <c r="K46" s="9">
        <f t="shared" si="5"/>
        <v>360</v>
      </c>
      <c r="L46" s="11">
        <f t="shared" si="7"/>
        <v>1440</v>
      </c>
    </row>
    <row r="47" spans="1:12" ht="17.399999999999999" x14ac:dyDescent="0.3">
      <c r="A47" s="8">
        <v>44</v>
      </c>
      <c r="B47" s="10">
        <v>3.3</v>
      </c>
      <c r="C47" s="9">
        <f t="shared" si="8"/>
        <v>39.599999999999994</v>
      </c>
      <c r="D47" s="9">
        <f t="shared" si="0"/>
        <v>37.599999999999994</v>
      </c>
      <c r="E47" s="9">
        <v>10</v>
      </c>
      <c r="F47" s="12">
        <f t="shared" si="1"/>
        <v>14137.599999999995</v>
      </c>
      <c r="G47" s="12">
        <f t="shared" si="2"/>
        <v>6.1361111111111093</v>
      </c>
      <c r="H47" s="13">
        <f t="shared" si="3"/>
        <v>6.1</v>
      </c>
      <c r="I47" s="9">
        <f t="shared" si="6"/>
        <v>9150</v>
      </c>
      <c r="J47" s="9">
        <f t="shared" si="4"/>
        <v>7320</v>
      </c>
      <c r="K47" s="9">
        <f t="shared" si="5"/>
        <v>5490</v>
      </c>
      <c r="L47" s="11">
        <f t="shared" si="7"/>
        <v>21960</v>
      </c>
    </row>
    <row r="48" spans="1:12" ht="17.399999999999999" x14ac:dyDescent="0.3">
      <c r="A48" s="8">
        <v>45</v>
      </c>
      <c r="B48" s="10">
        <v>4.5</v>
      </c>
      <c r="C48" s="9">
        <f t="shared" si="8"/>
        <v>54</v>
      </c>
      <c r="D48" s="9">
        <f t="shared" si="0"/>
        <v>52</v>
      </c>
      <c r="E48" s="9">
        <v>10</v>
      </c>
      <c r="F48" s="12">
        <f t="shared" si="1"/>
        <v>27040</v>
      </c>
      <c r="G48" s="12">
        <f t="shared" si="2"/>
        <v>11.736111111111111</v>
      </c>
      <c r="H48" s="13">
        <f t="shared" si="3"/>
        <v>11.7</v>
      </c>
      <c r="I48" s="9">
        <f t="shared" si="6"/>
        <v>17550</v>
      </c>
      <c r="J48" s="9">
        <f t="shared" si="4"/>
        <v>14040</v>
      </c>
      <c r="K48" s="9">
        <f t="shared" si="5"/>
        <v>10530</v>
      </c>
      <c r="L48" s="11">
        <f t="shared" si="7"/>
        <v>42120</v>
      </c>
    </row>
    <row r="49" spans="1:12" ht="17.399999999999999" x14ac:dyDescent="0.3">
      <c r="A49" s="8">
        <v>46</v>
      </c>
      <c r="B49" s="10">
        <v>2</v>
      </c>
      <c r="C49" s="9">
        <f t="shared" si="8"/>
        <v>24</v>
      </c>
      <c r="D49" s="9">
        <f t="shared" si="0"/>
        <v>22</v>
      </c>
      <c r="E49" s="9">
        <v>10</v>
      </c>
      <c r="F49" s="12">
        <f t="shared" si="1"/>
        <v>4840</v>
      </c>
      <c r="G49" s="12">
        <f t="shared" si="2"/>
        <v>2.1006944444444446</v>
      </c>
      <c r="H49" s="13">
        <f t="shared" si="3"/>
        <v>2.1</v>
      </c>
      <c r="I49" s="9">
        <f t="shared" si="6"/>
        <v>3150</v>
      </c>
      <c r="J49" s="9">
        <f t="shared" si="4"/>
        <v>2520</v>
      </c>
      <c r="K49" s="9">
        <f t="shared" si="5"/>
        <v>1890</v>
      </c>
      <c r="L49" s="11">
        <f t="shared" si="7"/>
        <v>7560</v>
      </c>
    </row>
    <row r="50" spans="1:12" ht="17.399999999999999" x14ac:dyDescent="0.3">
      <c r="A50" s="8">
        <v>47</v>
      </c>
      <c r="B50" s="10">
        <v>5</v>
      </c>
      <c r="C50" s="9">
        <f t="shared" si="8"/>
        <v>60</v>
      </c>
      <c r="D50" s="9">
        <f t="shared" si="0"/>
        <v>58</v>
      </c>
      <c r="E50" s="9">
        <v>10</v>
      </c>
      <c r="F50" s="12">
        <f t="shared" si="1"/>
        <v>33640</v>
      </c>
      <c r="G50" s="12">
        <f t="shared" si="2"/>
        <v>14.600694444444445</v>
      </c>
      <c r="H50" s="13">
        <f t="shared" si="3"/>
        <v>14.6</v>
      </c>
      <c r="I50" s="9">
        <f t="shared" si="6"/>
        <v>21900</v>
      </c>
      <c r="J50" s="9">
        <f t="shared" si="4"/>
        <v>17520</v>
      </c>
      <c r="K50" s="9">
        <f t="shared" si="5"/>
        <v>13140</v>
      </c>
      <c r="L50" s="11">
        <f t="shared" si="7"/>
        <v>52560</v>
      </c>
    </row>
    <row r="51" spans="1:12" ht="17.399999999999999" x14ac:dyDescent="0.3">
      <c r="A51" s="8">
        <v>48</v>
      </c>
      <c r="B51" s="10">
        <v>3</v>
      </c>
      <c r="C51" s="9">
        <f t="shared" si="8"/>
        <v>36</v>
      </c>
      <c r="D51" s="9">
        <f t="shared" si="0"/>
        <v>34</v>
      </c>
      <c r="E51" s="9">
        <v>10</v>
      </c>
      <c r="F51" s="12">
        <f t="shared" si="1"/>
        <v>11560</v>
      </c>
      <c r="G51" s="12">
        <f t="shared" si="2"/>
        <v>5.0173611111111107</v>
      </c>
      <c r="H51" s="13">
        <f t="shared" si="3"/>
        <v>5</v>
      </c>
      <c r="I51" s="9">
        <f t="shared" si="6"/>
        <v>7500</v>
      </c>
      <c r="J51" s="9">
        <f t="shared" si="4"/>
        <v>6000</v>
      </c>
      <c r="K51" s="9">
        <f t="shared" si="5"/>
        <v>4500</v>
      </c>
      <c r="L51" s="11">
        <f t="shared" si="7"/>
        <v>18000</v>
      </c>
    </row>
    <row r="52" spans="1:12" ht="17.399999999999999" x14ac:dyDescent="0.3">
      <c r="A52" s="8">
        <v>49</v>
      </c>
      <c r="B52" s="10">
        <v>2.4</v>
      </c>
      <c r="C52" s="9">
        <f t="shared" si="8"/>
        <v>28.799999999999997</v>
      </c>
      <c r="D52" s="9">
        <f t="shared" si="0"/>
        <v>26.799999999999997</v>
      </c>
      <c r="E52" s="9">
        <v>10</v>
      </c>
      <c r="F52" s="12">
        <f t="shared" si="1"/>
        <v>7182.4</v>
      </c>
      <c r="G52" s="12">
        <f t="shared" si="2"/>
        <v>3.1173611111111108</v>
      </c>
      <c r="H52" s="13">
        <f t="shared" si="3"/>
        <v>3.1</v>
      </c>
      <c r="I52" s="9">
        <f t="shared" si="6"/>
        <v>4650</v>
      </c>
      <c r="J52" s="9">
        <f t="shared" si="4"/>
        <v>3720</v>
      </c>
      <c r="K52" s="9">
        <f t="shared" si="5"/>
        <v>2790</v>
      </c>
      <c r="L52" s="11">
        <f t="shared" si="7"/>
        <v>11160</v>
      </c>
    </row>
    <row r="53" spans="1:12" ht="17.399999999999999" x14ac:dyDescent="0.3">
      <c r="A53" s="8">
        <v>50</v>
      </c>
      <c r="B53" s="10">
        <v>3.6</v>
      </c>
      <c r="C53" s="9">
        <f t="shared" si="8"/>
        <v>43.2</v>
      </c>
      <c r="D53" s="9">
        <f t="shared" si="0"/>
        <v>41.2</v>
      </c>
      <c r="E53" s="9">
        <v>10</v>
      </c>
      <c r="F53" s="12">
        <f t="shared" si="1"/>
        <v>16974.400000000001</v>
      </c>
      <c r="G53" s="12">
        <f t="shared" si="2"/>
        <v>7.3673611111111121</v>
      </c>
      <c r="H53" s="13">
        <f t="shared" si="3"/>
        <v>7.4</v>
      </c>
      <c r="I53" s="9">
        <f t="shared" si="6"/>
        <v>11100</v>
      </c>
      <c r="J53" s="9">
        <f t="shared" si="4"/>
        <v>8880</v>
      </c>
      <c r="K53" s="9">
        <f t="shared" si="5"/>
        <v>6660</v>
      </c>
      <c r="L53" s="11">
        <f t="shared" si="7"/>
        <v>26640</v>
      </c>
    </row>
    <row r="54" spans="1:12" ht="17.399999999999999" x14ac:dyDescent="0.3">
      <c r="A54" s="8">
        <v>51</v>
      </c>
      <c r="B54" s="10">
        <v>4.4000000000000004</v>
      </c>
      <c r="C54" s="9">
        <f t="shared" si="8"/>
        <v>52.800000000000004</v>
      </c>
      <c r="D54" s="9">
        <f t="shared" si="0"/>
        <v>50.800000000000004</v>
      </c>
      <c r="E54" s="9">
        <v>10</v>
      </c>
      <c r="F54" s="12">
        <f t="shared" si="1"/>
        <v>25806.400000000005</v>
      </c>
      <c r="G54" s="12">
        <f t="shared" si="2"/>
        <v>11.200694444444446</v>
      </c>
      <c r="H54" s="13">
        <f t="shared" si="3"/>
        <v>11.2</v>
      </c>
      <c r="I54" s="9">
        <f t="shared" si="6"/>
        <v>16800</v>
      </c>
      <c r="J54" s="9">
        <f t="shared" si="4"/>
        <v>13440</v>
      </c>
      <c r="K54" s="9">
        <f t="shared" si="5"/>
        <v>10080</v>
      </c>
      <c r="L54" s="11">
        <f t="shared" si="7"/>
        <v>40320</v>
      </c>
    </row>
    <row r="55" spans="1:12" ht="17.399999999999999" x14ac:dyDescent="0.3">
      <c r="A55" s="8">
        <v>52</v>
      </c>
      <c r="B55" s="10">
        <v>3.4</v>
      </c>
      <c r="C55" s="9">
        <f t="shared" si="8"/>
        <v>40.799999999999997</v>
      </c>
      <c r="D55" s="9">
        <f t="shared" si="0"/>
        <v>38.799999999999997</v>
      </c>
      <c r="E55" s="9">
        <v>10</v>
      </c>
      <c r="F55" s="12">
        <f t="shared" si="1"/>
        <v>15054.4</v>
      </c>
      <c r="G55" s="12">
        <f t="shared" si="2"/>
        <v>6.5340277777777773</v>
      </c>
      <c r="H55" s="13">
        <f t="shared" si="3"/>
        <v>6.5</v>
      </c>
      <c r="I55" s="9">
        <f t="shared" si="6"/>
        <v>9750</v>
      </c>
      <c r="J55" s="9">
        <f t="shared" si="4"/>
        <v>7800</v>
      </c>
      <c r="K55" s="9">
        <f t="shared" si="5"/>
        <v>5850</v>
      </c>
      <c r="L55" s="11">
        <f t="shared" si="7"/>
        <v>23400</v>
      </c>
    </row>
    <row r="56" spans="1:12" ht="17.399999999999999" x14ac:dyDescent="0.3">
      <c r="A56" s="8">
        <v>53</v>
      </c>
      <c r="B56" s="10">
        <v>2</v>
      </c>
      <c r="C56" s="9">
        <f t="shared" si="8"/>
        <v>24</v>
      </c>
      <c r="D56" s="9">
        <f t="shared" si="0"/>
        <v>22</v>
      </c>
      <c r="E56" s="9">
        <v>10</v>
      </c>
      <c r="F56" s="12">
        <f t="shared" si="1"/>
        <v>4840</v>
      </c>
      <c r="G56" s="12">
        <f t="shared" si="2"/>
        <v>2.1006944444444446</v>
      </c>
      <c r="H56" s="13">
        <f t="shared" si="3"/>
        <v>2.1</v>
      </c>
      <c r="I56" s="9">
        <f t="shared" si="6"/>
        <v>3150</v>
      </c>
      <c r="J56" s="9">
        <f t="shared" si="4"/>
        <v>2520</v>
      </c>
      <c r="K56" s="9">
        <f t="shared" si="5"/>
        <v>1890</v>
      </c>
      <c r="L56" s="11">
        <f t="shared" si="7"/>
        <v>7560</v>
      </c>
    </row>
    <row r="57" spans="1:12" ht="17.399999999999999" x14ac:dyDescent="0.3">
      <c r="A57" s="8">
        <v>54</v>
      </c>
      <c r="B57" s="10">
        <v>2.2000000000000002</v>
      </c>
      <c r="C57" s="9">
        <f t="shared" si="8"/>
        <v>26.400000000000002</v>
      </c>
      <c r="D57" s="9">
        <f t="shared" si="0"/>
        <v>24.400000000000002</v>
      </c>
      <c r="E57" s="9">
        <v>10</v>
      </c>
      <c r="F57" s="12">
        <f t="shared" si="1"/>
        <v>5953.6000000000013</v>
      </c>
      <c r="G57" s="12">
        <f t="shared" si="2"/>
        <v>2.5840277777777785</v>
      </c>
      <c r="H57" s="13">
        <f t="shared" si="3"/>
        <v>2.6</v>
      </c>
      <c r="I57" s="9">
        <f t="shared" si="6"/>
        <v>3900</v>
      </c>
      <c r="J57" s="9">
        <f t="shared" si="4"/>
        <v>3120</v>
      </c>
      <c r="K57" s="9">
        <f t="shared" si="5"/>
        <v>2340</v>
      </c>
      <c r="L57" s="11">
        <f t="shared" si="7"/>
        <v>9360</v>
      </c>
    </row>
    <row r="58" spans="1:12" ht="17.399999999999999" x14ac:dyDescent="0.3">
      <c r="A58" s="8">
        <v>55</v>
      </c>
      <c r="B58" s="10">
        <v>2.2999999999999998</v>
      </c>
      <c r="C58" s="9">
        <f t="shared" si="8"/>
        <v>27.599999999999998</v>
      </c>
      <c r="D58" s="9">
        <f t="shared" si="0"/>
        <v>25.599999999999998</v>
      </c>
      <c r="E58" s="9">
        <v>10</v>
      </c>
      <c r="F58" s="12">
        <f t="shared" si="1"/>
        <v>6553.5999999999985</v>
      </c>
      <c r="G58" s="12">
        <f t="shared" si="2"/>
        <v>2.8444444444444437</v>
      </c>
      <c r="H58" s="13">
        <f t="shared" si="3"/>
        <v>2.8</v>
      </c>
      <c r="I58" s="9">
        <f t="shared" si="6"/>
        <v>4200</v>
      </c>
      <c r="J58" s="9">
        <f t="shared" si="4"/>
        <v>3360</v>
      </c>
      <c r="K58" s="9">
        <f t="shared" si="5"/>
        <v>2520</v>
      </c>
      <c r="L58" s="11">
        <f t="shared" si="7"/>
        <v>10080</v>
      </c>
    </row>
    <row r="59" spans="1:12" ht="17.399999999999999" x14ac:dyDescent="0.3">
      <c r="A59" s="8">
        <v>56</v>
      </c>
      <c r="B59" s="10">
        <v>1.1000000000000001</v>
      </c>
      <c r="C59" s="9">
        <f t="shared" si="8"/>
        <v>13.200000000000001</v>
      </c>
      <c r="D59" s="9">
        <f t="shared" si="0"/>
        <v>11.200000000000001</v>
      </c>
      <c r="E59" s="9">
        <v>10</v>
      </c>
      <c r="F59" s="12">
        <f t="shared" si="1"/>
        <v>1254.4000000000003</v>
      </c>
      <c r="G59" s="12">
        <f t="shared" si="2"/>
        <v>0.54444444444444462</v>
      </c>
      <c r="H59" s="13">
        <f t="shared" si="3"/>
        <v>0.5</v>
      </c>
      <c r="I59" s="9">
        <f t="shared" si="6"/>
        <v>750</v>
      </c>
      <c r="J59" s="9">
        <f t="shared" si="4"/>
        <v>600</v>
      </c>
      <c r="K59" s="9">
        <f t="shared" si="5"/>
        <v>450</v>
      </c>
      <c r="L59" s="11">
        <f t="shared" si="7"/>
        <v>1800</v>
      </c>
    </row>
    <row r="60" spans="1:12" ht="17.399999999999999" x14ac:dyDescent="0.3">
      <c r="A60" s="8">
        <v>57</v>
      </c>
      <c r="B60" s="10">
        <v>2.5</v>
      </c>
      <c r="C60" s="9">
        <f t="shared" si="8"/>
        <v>30</v>
      </c>
      <c r="D60" s="9">
        <f t="shared" si="0"/>
        <v>28</v>
      </c>
      <c r="E60" s="9">
        <v>10</v>
      </c>
      <c r="F60" s="12">
        <f t="shared" si="1"/>
        <v>7840</v>
      </c>
      <c r="G60" s="12">
        <f t="shared" si="2"/>
        <v>3.4027777777777777</v>
      </c>
      <c r="H60" s="13">
        <f t="shared" si="3"/>
        <v>3.4</v>
      </c>
      <c r="I60" s="9">
        <f t="shared" si="6"/>
        <v>5100</v>
      </c>
      <c r="J60" s="9">
        <f t="shared" si="4"/>
        <v>4080</v>
      </c>
      <c r="K60" s="9">
        <f t="shared" si="5"/>
        <v>3060</v>
      </c>
      <c r="L60" s="11">
        <f t="shared" si="7"/>
        <v>12240</v>
      </c>
    </row>
    <row r="61" spans="1:12" ht="17.399999999999999" x14ac:dyDescent="0.3">
      <c r="A61" s="8">
        <v>58</v>
      </c>
      <c r="B61" s="10">
        <v>2.9</v>
      </c>
      <c r="C61" s="9">
        <f t="shared" si="8"/>
        <v>34.799999999999997</v>
      </c>
      <c r="D61" s="9">
        <f t="shared" si="0"/>
        <v>32.799999999999997</v>
      </c>
      <c r="E61" s="9">
        <v>10</v>
      </c>
      <c r="F61" s="12">
        <f t="shared" si="1"/>
        <v>10758.4</v>
      </c>
      <c r="G61" s="12">
        <f t="shared" si="2"/>
        <v>4.6694444444444443</v>
      </c>
      <c r="H61" s="13">
        <f t="shared" si="3"/>
        <v>4.7</v>
      </c>
      <c r="I61" s="9">
        <f t="shared" si="6"/>
        <v>7050</v>
      </c>
      <c r="J61" s="9">
        <f t="shared" si="4"/>
        <v>5640</v>
      </c>
      <c r="K61" s="9">
        <f t="shared" si="5"/>
        <v>4230</v>
      </c>
      <c r="L61" s="11">
        <f t="shared" si="7"/>
        <v>16920</v>
      </c>
    </row>
    <row r="62" spans="1:12" ht="18.600000000000001" thickBot="1" x14ac:dyDescent="0.35">
      <c r="A62" s="14">
        <v>59</v>
      </c>
      <c r="B62" s="22">
        <v>4</v>
      </c>
      <c r="C62" s="15">
        <f t="shared" si="8"/>
        <v>48</v>
      </c>
      <c r="D62" s="15">
        <f t="shared" si="0"/>
        <v>46</v>
      </c>
      <c r="E62" s="15">
        <v>10</v>
      </c>
      <c r="F62" s="16">
        <f t="shared" si="1"/>
        <v>21160</v>
      </c>
      <c r="G62" s="16">
        <f t="shared" si="2"/>
        <v>9.1840277777777786</v>
      </c>
      <c r="H62" s="17">
        <f t="shared" si="3"/>
        <v>9.1999999999999993</v>
      </c>
      <c r="I62" s="15">
        <f t="shared" si="6"/>
        <v>13799.999999999998</v>
      </c>
      <c r="J62" s="15">
        <f t="shared" si="4"/>
        <v>11040</v>
      </c>
      <c r="K62" s="15">
        <f t="shared" si="5"/>
        <v>8280</v>
      </c>
      <c r="L62" s="18">
        <f t="shared" si="7"/>
        <v>33120</v>
      </c>
    </row>
    <row r="63" spans="1:12" ht="18" x14ac:dyDescent="0.3">
      <c r="A63" s="31"/>
      <c r="B63" s="19"/>
      <c r="C63" s="19"/>
      <c r="D63" s="19"/>
      <c r="E63" s="19"/>
      <c r="F63" s="20"/>
      <c r="G63" s="20"/>
      <c r="H63" s="21"/>
      <c r="I63" s="19"/>
      <c r="J63" s="19"/>
      <c r="K63" s="19"/>
      <c r="L63" s="32"/>
    </row>
    <row r="64" spans="1:12" x14ac:dyDescent="0.3">
      <c r="A64" s="38" t="s">
        <v>12</v>
      </c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4"/>
    </row>
    <row r="65" spans="1:12" ht="15" thickBot="1" x14ac:dyDescent="0.35">
      <c r="A65" s="35"/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7"/>
    </row>
  </sheetData>
  <mergeCells count="2">
    <mergeCell ref="A64:L64"/>
    <mergeCell ref="A1:L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VAIDEHI</dc:creator>
  <cp:lastModifiedBy>VAIDEHI</cp:lastModifiedBy>
  <cp:lastPrinted>2022-01-16T17:20:20Z</cp:lastPrinted>
  <dcterms:created xsi:type="dcterms:W3CDTF">2022-01-16T15:41:16Z</dcterms:created>
  <dcterms:modified xsi:type="dcterms:W3CDTF">2022-01-16T17:21:07Z</dcterms:modified>
</cp:coreProperties>
</file>